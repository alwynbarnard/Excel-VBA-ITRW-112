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enri\Google Drive\_PUK\_Werk\ITRW112\ITRW112 2017\Voorbereiding\Projek\"/>
    </mc:Choice>
  </mc:AlternateContent>
  <bookViews>
    <workbookView xWindow="0" yWindow="0" windowWidth="20400" windowHeight="7650"/>
  </bookViews>
  <sheets>
    <sheet name="Topics" sheetId="1" r:id="rId1"/>
    <sheet name="Topic Asssignments"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50" i="2" l="1"/>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 i="2"/>
</calcChain>
</file>

<file path=xl/sharedStrings.xml><?xml version="1.0" encoding="utf-8"?>
<sst xmlns="http://schemas.openxmlformats.org/spreadsheetml/2006/main" count="28" uniqueCount="26">
  <si>
    <t>Topic Name</t>
  </si>
  <si>
    <t>Security and Privacy Project</t>
  </si>
  <si>
    <t>Unauthorised access and use</t>
  </si>
  <si>
    <t xml:space="preserve">Computers, networks, and the Internet help many people be more efficient and effective as well as add convenience and enjoyment to our personal lives. However, they also open up new possibilities for problems, such as hardware or data loss due to a system malfunction, hardware theft, or a security breach.  Security concerns related to computers, networks, and the Internet range from someone stealing your computer or mobile device, to a malicious program making your computer function abnormally, to a hacker using your personal information to make fraudulent purchases, to someone harassing you online.
</t>
  </si>
  <si>
    <t>Computer sabotage</t>
  </si>
  <si>
    <t>Online theft and fraud</t>
  </si>
  <si>
    <t>Cyberstalking and personal safety</t>
  </si>
  <si>
    <t>Personal computer security</t>
  </si>
  <si>
    <t>Privacy</t>
  </si>
  <si>
    <t>Description</t>
  </si>
  <si>
    <t>Related concepts</t>
  </si>
  <si>
    <t>Topic</t>
  </si>
  <si>
    <t xml:space="preserve">Unauthorized access occurs whenever an individual gains access to a computer, network, file, or other computing resource without permission. Unauthorized use is using a computing resource for unauthorized activities, even if the user is authorized to access that resource. </t>
  </si>
  <si>
    <r>
      <rPr>
        <b/>
        <sz val="11"/>
        <color theme="1"/>
        <rFont val="Calibri"/>
        <family val="2"/>
        <scheme val="minor"/>
      </rPr>
      <t>Hacking</t>
    </r>
    <r>
      <rPr>
        <sz val="11"/>
        <color theme="1"/>
        <rFont val="Calibri"/>
        <family val="2"/>
        <scheme val="minor"/>
      </rPr>
      <t xml:space="preserve">:  refers to the act of breaking into a computer or network.
</t>
    </r>
    <r>
      <rPr>
        <b/>
        <sz val="11"/>
        <color theme="1"/>
        <rFont val="Calibri"/>
        <family val="2"/>
        <scheme val="minor"/>
      </rPr>
      <t>Cyberterrorism</t>
    </r>
    <r>
      <rPr>
        <sz val="11"/>
        <color theme="1"/>
        <rFont val="Calibri"/>
        <family val="2"/>
        <scheme val="minor"/>
      </rPr>
      <t xml:space="preserve">: when terrorists launch attacks via the Internet.
</t>
    </r>
    <r>
      <rPr>
        <b/>
        <sz val="11"/>
        <color theme="1"/>
        <rFont val="Calibri"/>
        <family val="2"/>
        <scheme val="minor"/>
      </rPr>
      <t>War driving</t>
    </r>
    <r>
      <rPr>
        <sz val="11"/>
        <color theme="1"/>
        <rFont val="Calibri"/>
        <family val="2"/>
        <scheme val="minor"/>
      </rPr>
      <t xml:space="preserve">:  involves driving in a car with a portable device looking for unsecured Wi-Fi networks to connect to.
</t>
    </r>
    <r>
      <rPr>
        <b/>
        <sz val="11"/>
        <color theme="1"/>
        <rFont val="Calibri"/>
        <family val="2"/>
        <scheme val="minor"/>
      </rPr>
      <t>Wi-Fi Piggybacking</t>
    </r>
    <r>
      <rPr>
        <sz val="11"/>
        <color theme="1"/>
        <rFont val="Calibri"/>
        <family val="2"/>
        <scheme val="minor"/>
      </rPr>
      <t xml:space="preserve">: accessing an unsecured Wi-Fi network without authorization.
</t>
    </r>
    <r>
      <rPr>
        <b/>
        <sz val="11"/>
        <color theme="1"/>
        <rFont val="Calibri"/>
        <family val="2"/>
        <scheme val="minor"/>
      </rPr>
      <t>Interception of communication</t>
    </r>
    <r>
      <rPr>
        <sz val="11"/>
        <color theme="1"/>
        <rFont val="Calibri"/>
        <family val="2"/>
        <scheme val="minor"/>
      </rPr>
      <t xml:space="preserve">: gaining unauthorized access to data, files, messages, and other content as it is being sent over the Internet.
</t>
    </r>
    <r>
      <rPr>
        <b/>
        <sz val="11"/>
        <color theme="1"/>
        <rFont val="Calibri"/>
        <family val="2"/>
        <scheme val="minor"/>
      </rPr>
      <t>Access systems</t>
    </r>
    <r>
      <rPr>
        <sz val="11"/>
        <color theme="1"/>
        <rFont val="Calibri"/>
        <family val="2"/>
        <scheme val="minor"/>
      </rPr>
      <t>: passwords, biometric scanning, firewalls, encryption</t>
    </r>
  </si>
  <si>
    <t>Computer sabotage include acts of malicious destruction to a computer or computing resource and is another common type of computer crime. Computer sabotage can take several forms, including launching a harmful program, altering the content of a Web site, or changing data or programs located on a computer.</t>
  </si>
  <si>
    <t>A booming area of computer crime involves online theft, fraud, scams, and related activities designed to steal money or other resources from individuals or businesses. These are collectively referred to as dot cons.</t>
  </si>
  <si>
    <t>Cybercrime, in addition to being expensive and inconvenient, can also be physically dangerous. Although most of us may not ordinarily view using the Internet as a potentially dangerous activity, cases of physical harm due to Internet activity do happen.</t>
  </si>
  <si>
    <t>Some computer security issues are not related to networks and the Internet. These include having your computer stolen, losing a document because the storage medium it was stored on becomes unreadable, or losing your mobile phone containing your entire contact list and calendar.</t>
  </si>
  <si>
    <t>Privacy is usually defined as the state of being concealed or free from unauthorized intrusion. The term information privacy refers to the rights of individuals and companies to control how information about them is collected and used. Computers, with their ability to store, duplicate, and manipulate large quantities of data, combined with the fact that databases containing our personal information can be accessed and shared via the Internet, present challenges for protecting personal privacy.</t>
  </si>
  <si>
    <r>
      <rPr>
        <b/>
        <sz val="11"/>
        <color theme="1"/>
        <rFont val="Calibri"/>
        <family val="2"/>
        <scheme val="minor"/>
      </rPr>
      <t>Privacy:</t>
    </r>
    <r>
      <rPr>
        <sz val="11"/>
        <color theme="1"/>
        <rFont val="Calibri"/>
        <family val="2"/>
        <scheme val="minor"/>
      </rPr>
      <t xml:space="preserve">  the state of being concealed or free from unauthorized intrusion.
</t>
    </r>
    <r>
      <rPr>
        <b/>
        <sz val="11"/>
        <color theme="1"/>
        <rFont val="Calibri"/>
        <family val="2"/>
        <scheme val="minor"/>
      </rPr>
      <t>Information privacy</t>
    </r>
    <r>
      <rPr>
        <sz val="11"/>
        <color theme="1"/>
        <rFont val="Calibri"/>
        <family val="2"/>
        <scheme val="minor"/>
      </rPr>
      <t xml:space="preserve">:  the rights of individuals and companies to control how information about them is collected and used.
</t>
    </r>
    <r>
      <rPr>
        <b/>
        <sz val="11"/>
        <color theme="1"/>
        <rFont val="Calibri"/>
        <family val="2"/>
        <scheme val="minor"/>
      </rPr>
      <t>Electronic profiling:</t>
    </r>
    <r>
      <rPr>
        <sz val="11"/>
        <color theme="1"/>
        <rFont val="Calibri"/>
        <family val="2"/>
        <scheme val="minor"/>
      </rPr>
      <t xml:space="preserve"> using electronic means to collect a variety of in-depth information about an individual, such as name, address, income, and buying habits.
</t>
    </r>
    <r>
      <rPr>
        <b/>
        <sz val="11"/>
        <color theme="1"/>
        <rFont val="Calibri"/>
        <family val="2"/>
        <scheme val="minor"/>
      </rPr>
      <t>Privacy policy</t>
    </r>
    <r>
      <rPr>
        <sz val="11"/>
        <color theme="1"/>
        <rFont val="Calibri"/>
        <family val="2"/>
        <scheme val="minor"/>
      </rPr>
      <t xml:space="preserve">:  a policy, commonly posted on a company’s Web site, that explains how personal information provided to that company will be used.
</t>
    </r>
    <r>
      <rPr>
        <b/>
        <sz val="11"/>
        <color theme="1"/>
        <rFont val="Calibri"/>
        <family val="2"/>
        <scheme val="minor"/>
      </rPr>
      <t>Spam:</t>
    </r>
    <r>
      <rPr>
        <sz val="11"/>
        <color theme="1"/>
        <rFont val="Calibri"/>
        <family val="2"/>
        <scheme val="minor"/>
      </rPr>
      <t xml:space="preserve"> unsolicited, bulk email sent over the Internet.
</t>
    </r>
    <r>
      <rPr>
        <b/>
        <sz val="11"/>
        <color theme="1"/>
        <rFont val="Calibri"/>
        <family val="2"/>
        <scheme val="minor"/>
      </rPr>
      <t>Cookies:</t>
    </r>
    <r>
      <rPr>
        <sz val="11"/>
        <color theme="1"/>
        <rFont val="Calibri"/>
        <family val="2"/>
        <scheme val="minor"/>
      </rPr>
      <t xml:space="preserve"> small text files that are stored on your hard drive by a Web server to identify return visitors and their preferences.
</t>
    </r>
    <r>
      <rPr>
        <b/>
        <sz val="11"/>
        <color theme="1"/>
        <rFont val="Calibri"/>
        <family val="2"/>
        <scheme val="minor"/>
      </rPr>
      <t>Electronic surveillance and monitoring
Tips to help limit the exposure of your personal data
Privacy legislation</t>
    </r>
  </si>
  <si>
    <t>Student Number</t>
  </si>
  <si>
    <t>Below are 6 topics related to security and privacy explained in the textbook, chapter 6. One of these are assigned to your student number (see sheet Topic Assignments) and your project has to deal with this topic or one of its related concepts. You also have to know what the rest of the topics entail, as you will be assessing your fellow class mates' projects.</t>
  </si>
  <si>
    <r>
      <rPr>
        <b/>
        <sz val="11"/>
        <color theme="1"/>
        <rFont val="Calibri"/>
        <family val="2"/>
        <scheme val="minor"/>
      </rPr>
      <t>Bots and botnets</t>
    </r>
    <r>
      <rPr>
        <sz val="11"/>
        <color theme="1"/>
        <rFont val="Calibri"/>
        <family val="2"/>
        <scheme val="minor"/>
      </rPr>
      <t xml:space="preserve">: when a computer is controlled by a hacker or other computer criminals.
</t>
    </r>
    <r>
      <rPr>
        <b/>
        <sz val="11"/>
        <color theme="1"/>
        <rFont val="Calibri"/>
        <family val="2"/>
        <scheme val="minor"/>
      </rPr>
      <t>Malware:</t>
    </r>
    <r>
      <rPr>
        <sz val="11"/>
        <color theme="1"/>
        <rFont val="Calibri"/>
        <family val="2"/>
        <scheme val="minor"/>
      </rPr>
      <t xml:space="preserve"> a generic term that refers to any type of malicious software.
</t>
    </r>
    <r>
      <rPr>
        <b/>
        <sz val="11"/>
        <color theme="1"/>
        <rFont val="Calibri"/>
        <family val="2"/>
        <scheme val="minor"/>
      </rPr>
      <t>Computer virus</t>
    </r>
    <r>
      <rPr>
        <sz val="11"/>
        <color theme="1"/>
        <rFont val="Calibri"/>
        <family val="2"/>
        <scheme val="minor"/>
      </rPr>
      <t xml:space="preserve">: a software program installed without the user's knowledge that is designed to alter the way the computer operates or cause harm to the computer systems.
</t>
    </r>
    <r>
      <rPr>
        <b/>
        <sz val="11"/>
        <color theme="1"/>
        <rFont val="Calibri"/>
        <family val="2"/>
        <scheme val="minor"/>
      </rPr>
      <t>Computer worm</t>
    </r>
    <r>
      <rPr>
        <sz val="11"/>
        <color theme="1"/>
        <rFont val="Calibri"/>
        <family val="2"/>
        <scheme val="minor"/>
      </rPr>
      <t xml:space="preserve">:  a malicious program designed to spread rapidly to a large number of computers by sending copies of itself to other computers.
</t>
    </r>
    <r>
      <rPr>
        <b/>
        <sz val="11"/>
        <color theme="1"/>
        <rFont val="Calibri"/>
        <family val="2"/>
        <scheme val="minor"/>
      </rPr>
      <t>Trojan horse</t>
    </r>
    <r>
      <rPr>
        <sz val="11"/>
        <color theme="1"/>
        <rFont val="Calibri"/>
        <family val="2"/>
        <scheme val="minor"/>
      </rPr>
      <t xml:space="preserve">: a malicious program that masquerades as something else.
</t>
    </r>
    <r>
      <rPr>
        <b/>
        <sz val="11"/>
        <color theme="1"/>
        <rFont val="Calibri"/>
        <family val="2"/>
        <scheme val="minor"/>
      </rPr>
      <t>Spyware:</t>
    </r>
    <r>
      <rPr>
        <sz val="11"/>
        <color theme="1"/>
        <rFont val="Calibri"/>
        <family val="2"/>
        <scheme val="minor"/>
      </rPr>
      <t xml:space="preserve"> a program designed to find private information on a computer and then send that information to its creator.
</t>
    </r>
    <r>
      <rPr>
        <b/>
        <sz val="11"/>
        <color theme="1"/>
        <rFont val="Calibri"/>
        <family val="2"/>
        <scheme val="minor"/>
      </rPr>
      <t>Denial of Service (DoS) attack</t>
    </r>
    <r>
      <rPr>
        <sz val="11"/>
        <color theme="1"/>
        <rFont val="Calibri"/>
        <family val="2"/>
        <scheme val="minor"/>
      </rPr>
      <t xml:space="preserve">:  an act of sabotage that attempts to flood a network server or a Web server with so much activity that it is unable to function.
</t>
    </r>
    <r>
      <rPr>
        <b/>
        <sz val="11"/>
        <color theme="1"/>
        <rFont val="Calibri"/>
        <family val="2"/>
        <scheme val="minor"/>
      </rPr>
      <t>Data, Program, or Web Site Alteration
Security software
Antivirus software</t>
    </r>
  </si>
  <si>
    <r>
      <rPr>
        <b/>
        <sz val="11"/>
        <color theme="1"/>
        <rFont val="Calibri"/>
        <family val="2"/>
        <scheme val="minor"/>
      </rPr>
      <t>Dot con</t>
    </r>
    <r>
      <rPr>
        <sz val="11"/>
        <color theme="1"/>
        <rFont val="Calibri"/>
        <family val="2"/>
        <scheme val="minor"/>
      </rPr>
      <t xml:space="preserve">: a fraud or scam carried out through the Internet.
</t>
    </r>
    <r>
      <rPr>
        <b/>
        <sz val="11"/>
        <color theme="1"/>
        <rFont val="Calibri"/>
        <family val="2"/>
        <scheme val="minor"/>
      </rPr>
      <t>Data or information theft</t>
    </r>
    <r>
      <rPr>
        <sz val="11"/>
        <color theme="1"/>
        <rFont val="Calibri"/>
        <family val="2"/>
        <scheme val="minor"/>
      </rPr>
      <t xml:space="preserve">
</t>
    </r>
    <r>
      <rPr>
        <b/>
        <sz val="11"/>
        <color theme="1"/>
        <rFont val="Calibri"/>
        <family val="2"/>
        <scheme val="minor"/>
      </rPr>
      <t>Identity theft:</t>
    </r>
    <r>
      <rPr>
        <sz val="11"/>
        <color theme="1"/>
        <rFont val="Calibri"/>
        <family val="2"/>
        <scheme val="minor"/>
      </rPr>
      <t xml:space="preserve">  using someone else’s identity to purchase goods or services or otherwise illegally masquerade as that individual.
</t>
    </r>
    <r>
      <rPr>
        <b/>
        <sz val="11"/>
        <color theme="1"/>
        <rFont val="Calibri"/>
        <family val="2"/>
        <scheme val="minor"/>
      </rPr>
      <t>Phishing:</t>
    </r>
    <r>
      <rPr>
        <sz val="11"/>
        <color theme="1"/>
        <rFont val="Calibri"/>
        <family val="2"/>
        <scheme val="minor"/>
      </rPr>
      <t xml:space="preserve"> the use of electronic communications (typically email messages) to gain credit card numbers and other personal data to be used for fraudulent purposes.
</t>
    </r>
    <r>
      <rPr>
        <b/>
        <sz val="11"/>
        <color theme="1"/>
        <rFont val="Calibri"/>
        <family val="2"/>
        <scheme val="minor"/>
      </rPr>
      <t>Spear phishing</t>
    </r>
    <r>
      <rPr>
        <sz val="11"/>
        <color theme="1"/>
        <rFont val="Calibri"/>
        <family val="2"/>
        <scheme val="minor"/>
      </rPr>
      <t xml:space="preserve">: a personalised phishing scheme targeted at an individual.
</t>
    </r>
    <r>
      <rPr>
        <b/>
        <sz val="11"/>
        <color theme="1"/>
        <rFont val="Calibri"/>
        <family val="2"/>
        <scheme val="minor"/>
      </rPr>
      <t>Social media hacking</t>
    </r>
    <r>
      <rPr>
        <sz val="11"/>
        <color theme="1"/>
        <rFont val="Calibri"/>
        <family val="2"/>
        <scheme val="minor"/>
      </rPr>
      <t xml:space="preserve">: the act of accessing someone else’s social media account to make changes to the content or to perform an activity as that individual, often for phishing purposes.
</t>
    </r>
    <r>
      <rPr>
        <b/>
        <sz val="11"/>
        <color theme="1"/>
        <rFont val="Calibri"/>
        <family val="2"/>
        <scheme val="minor"/>
      </rPr>
      <t>Pharming:</t>
    </r>
    <r>
      <rPr>
        <sz val="11"/>
        <color theme="1"/>
        <rFont val="Calibri"/>
        <family val="2"/>
        <scheme val="minor"/>
      </rPr>
      <t xml:space="preserve"> the use of redirection and a bogus Web site to obtain personal information to use in fraudulent activities.
</t>
    </r>
    <r>
      <rPr>
        <b/>
        <sz val="11"/>
        <color theme="1"/>
        <rFont val="Calibri"/>
        <family val="2"/>
        <scheme val="minor"/>
      </rPr>
      <t>Online auction fraud</t>
    </r>
    <r>
      <rPr>
        <sz val="11"/>
        <color theme="1"/>
        <rFont val="Calibri"/>
        <family val="2"/>
        <scheme val="minor"/>
      </rPr>
      <t xml:space="preserve">: when an item purchased through an online auction is never delivered or delivered but not as represented by the seller.
</t>
    </r>
    <r>
      <rPr>
        <b/>
        <sz val="11"/>
        <color theme="1"/>
        <rFont val="Calibri"/>
        <family val="2"/>
        <scheme val="minor"/>
      </rPr>
      <t>Digital IDs, certificates and signatures</t>
    </r>
  </si>
  <si>
    <r>
      <rPr>
        <b/>
        <sz val="11"/>
        <color theme="1"/>
        <rFont val="Calibri"/>
        <family val="2"/>
        <scheme val="minor"/>
      </rPr>
      <t>Cyberbullying:</t>
    </r>
    <r>
      <rPr>
        <sz val="11"/>
        <color theme="1"/>
        <rFont val="Calibri"/>
        <family val="2"/>
        <scheme val="minor"/>
      </rPr>
      <t xml:space="preserve"> the use of online communications to bully another person.
</t>
    </r>
    <r>
      <rPr>
        <b/>
        <sz val="11"/>
        <color theme="1"/>
        <rFont val="Calibri"/>
        <family val="2"/>
        <scheme val="minor"/>
      </rPr>
      <t>Cyberstalking:</t>
    </r>
    <r>
      <rPr>
        <sz val="11"/>
        <color theme="1"/>
        <rFont val="Calibri"/>
        <family val="2"/>
        <scheme val="minor"/>
      </rPr>
      <t xml:space="preserve"> repeated threats or harassing behaviour between adults carried out via email or another Internet communications method.
</t>
    </r>
    <r>
      <rPr>
        <b/>
        <sz val="11"/>
        <color theme="1"/>
        <rFont val="Calibri"/>
        <family val="2"/>
        <scheme val="minor"/>
      </rPr>
      <t>Online pornography
Personal safeguards</t>
    </r>
  </si>
  <si>
    <r>
      <rPr>
        <b/>
        <sz val="11"/>
        <color theme="1"/>
        <rFont val="Calibri"/>
        <family val="2"/>
        <scheme val="minor"/>
      </rPr>
      <t>Hardware loss and damage</t>
    </r>
    <r>
      <rPr>
        <sz val="11"/>
        <color theme="1"/>
        <rFont val="Calibri"/>
        <family val="2"/>
        <scheme val="minor"/>
      </rPr>
      <t xml:space="preserve">
</t>
    </r>
    <r>
      <rPr>
        <b/>
        <sz val="11"/>
        <color theme="1"/>
        <rFont val="Calibri"/>
        <family val="2"/>
        <scheme val="minor"/>
      </rPr>
      <t>System failure</t>
    </r>
    <r>
      <rPr>
        <sz val="11"/>
        <color theme="1"/>
        <rFont val="Calibri"/>
        <family val="2"/>
        <scheme val="minor"/>
      </rPr>
      <t xml:space="preserve">:  the complete malfunction of a computer system.
</t>
    </r>
    <r>
      <rPr>
        <b/>
        <sz val="11"/>
        <color theme="1"/>
        <rFont val="Calibri"/>
        <family val="2"/>
        <scheme val="minor"/>
      </rPr>
      <t>Disaster recovery plan</t>
    </r>
    <r>
      <rPr>
        <sz val="11"/>
        <color theme="1"/>
        <rFont val="Calibri"/>
        <family val="2"/>
        <scheme val="minor"/>
      </rPr>
      <t xml:space="preserve">: a written plan that describes the steps a company will take following the occurrence of a disaster.
</t>
    </r>
    <r>
      <rPr>
        <b/>
        <sz val="11"/>
        <color theme="1"/>
        <rFont val="Calibri"/>
        <family val="2"/>
        <scheme val="minor"/>
      </rPr>
      <t>Full disk encryption (FDE)</t>
    </r>
    <r>
      <rPr>
        <sz val="11"/>
        <color theme="1"/>
        <rFont val="Calibri"/>
        <family val="2"/>
        <scheme val="minor"/>
      </rPr>
      <t xml:space="preserve">: a technology that encrypts everything stored on a storage medium without any user interaction.
</t>
    </r>
    <r>
      <rPr>
        <b/>
        <sz val="11"/>
        <color theme="1"/>
        <rFont val="Calibri"/>
        <family val="2"/>
        <scheme val="minor"/>
      </rPr>
      <t>Self-encrypting hard drive</t>
    </r>
    <r>
      <rPr>
        <sz val="11"/>
        <color theme="1"/>
        <rFont val="Calibri"/>
        <family val="2"/>
        <scheme val="minor"/>
      </rPr>
      <t xml:space="preserve">: a hard drive that uses full disk encryption.
</t>
    </r>
    <r>
      <rPr>
        <b/>
        <sz val="11"/>
        <color theme="1"/>
        <rFont val="Calibri"/>
        <family val="2"/>
        <scheme val="minor"/>
      </rPr>
      <t>Precautions against computer loss and damage</t>
    </r>
    <r>
      <rPr>
        <sz val="11"/>
        <color theme="1"/>
        <rFont val="Calibri"/>
        <family val="2"/>
        <scheme val="minor"/>
      </rPr>
      <t>: such as when using devices on the go, using, ruggedised device, surge suppressors and UPS.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</si>
</sst>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
      <sz val="11"/>
      <name val="Calibri"/>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center"/>
    </xf>
    <xf numFmtId="0" fontId="1" fillId="0" borderId="0" xfId="0" applyFont="1" applyAlignment="1">
      <alignment wrapText="1"/>
    </xf>
    <xf numFmtId="0" fontId="0" fillId="0" borderId="0" xfId="0" applyAlignment="1">
      <alignment horizontal="left" vertical="top" wrapText="1"/>
    </xf>
    <xf numFmtId="0" fontId="0" fillId="0" borderId="0" xfId="0" applyAlignment="1">
      <alignment horizontal="left"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left" vertical="top" wrapText="1"/>
    </xf>
    <xf numFmtId="0" fontId="1" fillId="0" borderId="0" xfId="0" applyFont="1" applyAlignment="1">
      <alignment horizontal="center" wrapText="1"/>
    </xf>
    <xf numFmtId="0" fontId="2" fillId="0" borderId="0" xfId="0" applyFont="1" applyAlignment="1">
      <alignment horizontal="left"/>
    </xf>
    <xf numFmtId="0" fontId="0" fillId="0" borderId="0" xfId="0" applyAlignment="1">
      <alignment horizontal="left" vertical="top" wrapText="1"/>
    </xf>
    <xf numFmtId="0" fontId="0" fillId="0" borderId="0" xfId="0" applyAlignment="1">
      <alignment horizontal="left" wrapText="1"/>
    </xf>
    <xf numFmtId="0" fontId="4" fillId="0" borderId="0" xfId="0" applyFont="1"/>
    <xf numFmtId="0" fontId="5" fillId="0" borderId="0" xfId="0" applyFont="1"/>
  </cellXfs>
  <cellStyles count="1">
    <cellStyle name="Normal" xfId="0" builtinId="0"/>
  </cellStyles>
  <dxfs count="11">
    <dxf>
      <font>
        <color auto="1"/>
      </font>
      <alignment horizontal="center" vertical="bottom" textRotation="0" wrapText="0" indent="0" justifyLastLine="0" shrinkToFit="0" readingOrder="0"/>
    </dxf>
    <dxf>
      <font>
        <color auto="1"/>
      </font>
      <alignment horizontal="center" vertical="bottom" textRotation="0" wrapText="0" indent="0" justifyLastLine="0" shrinkToFit="0" readingOrder="0"/>
    </dxf>
    <dxf>
      <alignment vertical="bottom" textRotation="0" wrapText="1" indent="0" justifyLastLine="0" shrinkToFit="0" readingOrder="0"/>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font>
      <alignment horizontal="center" vertical="top"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opics" displayName="Topics" ref="A5:D11" totalsRowShown="0" headerRowDxfId="10" headerRowBorderDxfId="9" tableBorderDxfId="8" totalsRowBorderDxfId="7">
  <autoFilter ref="A5:D11"/>
  <tableColumns count="4">
    <tableColumn id="1" name="Topic" dataDxfId="6"/>
    <tableColumn id="2" name="Topic Name" dataDxfId="5"/>
    <tableColumn id="3" name="Description" dataDxfId="4"/>
    <tableColumn id="4" name="Related concepts" dataDxfId="3"/>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C285" totalsRowShown="0" headerRowDxfId="2">
  <autoFilter ref="A1:C285"/>
  <tableColumns count="3">
    <tableColumn id="1" name="Student Number" dataDxfId="1"/>
    <tableColumn id="2" name="Topic" dataDxfId="0"/>
    <tableColumn id="3" name="Topic Name">
      <calculatedColumnFormula>VLOOKUP(B2,Topics[],2,FALSE)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workbookViewId="0">
      <selection sqref="A1:C1"/>
    </sheetView>
  </sheetViews>
  <sheetFormatPr defaultRowHeight="15"/>
  <cols>
    <col min="1" max="1" width="9" customWidth="1"/>
    <col min="2" max="2" width="30.625" customWidth="1"/>
    <col min="3" max="3" width="40.125" customWidth="1"/>
    <col min="4" max="4" width="82.75" customWidth="1"/>
  </cols>
  <sheetData>
    <row r="1" spans="1:9" ht="18.75">
      <c r="A1" s="19" t="s">
        <v>1</v>
      </c>
      <c r="B1" s="19"/>
      <c r="C1" s="19"/>
    </row>
    <row r="2" spans="1:9" ht="66" customHeight="1">
      <c r="A2" s="20" t="s">
        <v>3</v>
      </c>
      <c r="B2" s="20"/>
      <c r="C2" s="20"/>
      <c r="D2" s="20"/>
      <c r="E2" s="4"/>
      <c r="F2" s="4"/>
      <c r="G2" s="4"/>
      <c r="H2" s="4"/>
      <c r="I2" s="4"/>
    </row>
    <row r="3" spans="1:9" ht="33.75" customHeight="1">
      <c r="A3" s="21" t="s">
        <v>21</v>
      </c>
      <c r="B3" s="21"/>
      <c r="C3" s="21"/>
      <c r="D3" s="21"/>
      <c r="E3" s="5"/>
      <c r="F3" s="5"/>
      <c r="G3" s="5"/>
      <c r="H3" s="5"/>
      <c r="I3" s="5"/>
    </row>
    <row r="5" spans="1:9" s="3" customFormat="1">
      <c r="A5" s="8" t="s">
        <v>11</v>
      </c>
      <c r="B5" s="9" t="s">
        <v>0</v>
      </c>
      <c r="C5" s="9" t="s">
        <v>9</v>
      </c>
      <c r="D5" s="10" t="s">
        <v>10</v>
      </c>
    </row>
    <row r="6" spans="1:9" ht="120">
      <c r="A6" s="14">
        <v>1</v>
      </c>
      <c r="B6" s="13" t="s">
        <v>2</v>
      </c>
      <c r="C6" s="6" t="s">
        <v>12</v>
      </c>
      <c r="D6" s="7" t="s">
        <v>13</v>
      </c>
    </row>
    <row r="7" spans="1:9" ht="210">
      <c r="A7" s="15">
        <v>2</v>
      </c>
      <c r="B7" s="13" t="s">
        <v>4</v>
      </c>
      <c r="C7" s="6" t="s">
        <v>14</v>
      </c>
      <c r="D7" s="7" t="s">
        <v>22</v>
      </c>
    </row>
    <row r="8" spans="1:9" ht="210">
      <c r="A8" s="15">
        <v>3</v>
      </c>
      <c r="B8" s="13" t="s">
        <v>5</v>
      </c>
      <c r="C8" s="6" t="s">
        <v>15</v>
      </c>
      <c r="D8" s="7" t="s">
        <v>23</v>
      </c>
    </row>
    <row r="9" spans="1:9" ht="90">
      <c r="A9" s="15">
        <v>4</v>
      </c>
      <c r="B9" s="13" t="s">
        <v>6</v>
      </c>
      <c r="C9" s="6" t="s">
        <v>16</v>
      </c>
      <c r="D9" s="7" t="s">
        <v>24</v>
      </c>
    </row>
    <row r="10" spans="1:9" ht="135">
      <c r="A10" s="15">
        <v>5</v>
      </c>
      <c r="B10" s="13" t="s">
        <v>7</v>
      </c>
      <c r="C10" s="6" t="s">
        <v>17</v>
      </c>
      <c r="D10" s="7" t="s">
        <v>25</v>
      </c>
    </row>
    <row r="11" spans="1:9" ht="195">
      <c r="A11" s="16">
        <v>6</v>
      </c>
      <c r="B11" s="17" t="s">
        <v>8</v>
      </c>
      <c r="C11" s="12" t="s">
        <v>18</v>
      </c>
      <c r="D11" s="11" t="s">
        <v>19</v>
      </c>
    </row>
  </sheetData>
  <mergeCells count="3">
    <mergeCell ref="A1:C1"/>
    <mergeCell ref="A2:D2"/>
    <mergeCell ref="A3:D3"/>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5"/>
  <sheetViews>
    <sheetView workbookViewId="0">
      <pane ySplit="1" topLeftCell="A2" activePane="bottomLeft" state="frozen"/>
      <selection pane="bottomLeft" activeCell="A3" sqref="A3"/>
    </sheetView>
  </sheetViews>
  <sheetFormatPr defaultRowHeight="15"/>
  <cols>
    <col min="1" max="1" width="14.75" style="2" customWidth="1"/>
    <col min="2" max="2" width="10.25" style="2" bestFit="1" customWidth="1"/>
    <col min="3" max="3" width="31.375" bestFit="1" customWidth="1"/>
  </cols>
  <sheetData>
    <row r="1" spans="1:3" s="1" customFormat="1" ht="30">
      <c r="A1" s="18" t="s">
        <v>20</v>
      </c>
      <c r="B1" s="18" t="s">
        <v>11</v>
      </c>
      <c r="C1" s="3" t="s">
        <v>0</v>
      </c>
    </row>
    <row r="2" spans="1:3">
      <c r="A2" s="22">
        <v>22153152</v>
      </c>
      <c r="B2" s="23">
        <v>1</v>
      </c>
      <c r="C2" t="str">
        <f>VLOOKUP(B2,Topics[],2,FALSE)</f>
        <v>Unauthorised access and use</v>
      </c>
    </row>
    <row r="3" spans="1:3">
      <c r="A3" s="22">
        <v>23551518</v>
      </c>
      <c r="B3" s="23">
        <v>3</v>
      </c>
      <c r="C3" t="str">
        <f>VLOOKUP(B3,Topics[],2,FALSE)</f>
        <v>Online theft and fraud</v>
      </c>
    </row>
    <row r="4" spans="1:3">
      <c r="A4" s="22">
        <v>23706538</v>
      </c>
      <c r="B4" s="23">
        <v>1</v>
      </c>
      <c r="C4" t="str">
        <f>VLOOKUP(B4,Topics[],2,FALSE)</f>
        <v>Unauthorised access and use</v>
      </c>
    </row>
    <row r="5" spans="1:3">
      <c r="A5" s="22">
        <v>24162728</v>
      </c>
      <c r="B5" s="23">
        <v>5</v>
      </c>
      <c r="C5" t="str">
        <f>VLOOKUP(B5,Topics[],2,FALSE)</f>
        <v>Personal computer security</v>
      </c>
    </row>
    <row r="6" spans="1:3">
      <c r="A6" s="22">
        <v>24688746</v>
      </c>
      <c r="B6" s="23">
        <v>2</v>
      </c>
      <c r="C6" t="str">
        <f>VLOOKUP(B6,Topics[],2,FALSE)</f>
        <v>Computer sabotage</v>
      </c>
    </row>
    <row r="7" spans="1:3">
      <c r="A7" s="22">
        <v>25057014</v>
      </c>
      <c r="B7" s="23">
        <v>1</v>
      </c>
      <c r="C7" t="str">
        <f>VLOOKUP(B7,Topics[],2,FALSE)</f>
        <v>Unauthorised access and use</v>
      </c>
    </row>
    <row r="8" spans="1:3">
      <c r="A8" s="22">
        <v>25145444</v>
      </c>
      <c r="B8" s="23">
        <v>3</v>
      </c>
      <c r="C8" t="str">
        <f>VLOOKUP(B8,Topics[],2,FALSE)</f>
        <v>Online theft and fraud</v>
      </c>
    </row>
    <row r="9" spans="1:3">
      <c r="A9" s="22">
        <v>25221256</v>
      </c>
      <c r="B9" s="23">
        <v>1</v>
      </c>
      <c r="C9" t="str">
        <f>VLOOKUP(B9,Topics[],2,FALSE)</f>
        <v>Unauthorised access and use</v>
      </c>
    </row>
    <row r="10" spans="1:3">
      <c r="A10" s="22">
        <v>25452878</v>
      </c>
      <c r="B10" s="23">
        <v>5</v>
      </c>
      <c r="C10" t="str">
        <f>VLOOKUP(B10,Topics[],2,FALSE)</f>
        <v>Personal computer security</v>
      </c>
    </row>
    <row r="11" spans="1:3">
      <c r="A11" s="22">
        <v>25511106</v>
      </c>
      <c r="B11" s="23">
        <v>6</v>
      </c>
      <c r="C11" t="str">
        <f>VLOOKUP(B11,Topics[],2,FALSE)</f>
        <v>Privacy</v>
      </c>
    </row>
    <row r="12" spans="1:3">
      <c r="A12" s="22">
        <v>25931504</v>
      </c>
      <c r="B12" s="23">
        <v>4</v>
      </c>
      <c r="C12" t="str">
        <f>VLOOKUP(B12,Topics[],2,FALSE)</f>
        <v>Cyberstalking and personal safety</v>
      </c>
    </row>
    <row r="13" spans="1:3">
      <c r="A13" s="22">
        <v>25935224</v>
      </c>
      <c r="B13" s="23">
        <v>4</v>
      </c>
      <c r="C13" t="str">
        <f>VLOOKUP(B13,Topics[],2,FALSE)</f>
        <v>Cyberstalking and personal safety</v>
      </c>
    </row>
    <row r="14" spans="1:3">
      <c r="A14" s="22">
        <v>25958895</v>
      </c>
      <c r="B14" s="23">
        <v>3</v>
      </c>
      <c r="C14" t="str">
        <f>VLOOKUP(B14,Topics[],2,FALSE)</f>
        <v>Online theft and fraud</v>
      </c>
    </row>
    <row r="15" spans="1:3">
      <c r="A15" s="22">
        <v>25985302</v>
      </c>
      <c r="B15" s="23">
        <v>4</v>
      </c>
      <c r="C15" t="str">
        <f>VLOOKUP(B15,Topics[],2,FALSE)</f>
        <v>Cyberstalking and personal safety</v>
      </c>
    </row>
    <row r="16" spans="1:3">
      <c r="A16" s="22">
        <v>26292718</v>
      </c>
      <c r="B16" s="23">
        <v>1</v>
      </c>
      <c r="C16" t="str">
        <f>VLOOKUP(B16,Topics[],2,FALSE)</f>
        <v>Unauthorised access and use</v>
      </c>
    </row>
    <row r="17" spans="1:3">
      <c r="A17" s="22">
        <v>26496666</v>
      </c>
      <c r="B17" s="23">
        <v>1</v>
      </c>
      <c r="C17" t="str">
        <f>VLOOKUP(B17,Topics[],2,FALSE)</f>
        <v>Unauthorised access and use</v>
      </c>
    </row>
    <row r="18" spans="1:3">
      <c r="A18" s="22">
        <v>26566990</v>
      </c>
      <c r="B18" s="23">
        <v>5</v>
      </c>
      <c r="C18" t="str">
        <f>VLOOKUP(B18,Topics[],2,FALSE)</f>
        <v>Personal computer security</v>
      </c>
    </row>
    <row r="19" spans="1:3">
      <c r="A19" s="22">
        <v>26661667</v>
      </c>
      <c r="B19" s="23">
        <v>1</v>
      </c>
      <c r="C19" t="str">
        <f>VLOOKUP(B19,Topics[],2,FALSE)</f>
        <v>Unauthorised access and use</v>
      </c>
    </row>
    <row r="20" spans="1:3">
      <c r="A20" s="22">
        <v>26986299</v>
      </c>
      <c r="B20" s="23">
        <v>2</v>
      </c>
      <c r="C20" t="str">
        <f>VLOOKUP(B20,Topics[],2,FALSE)</f>
        <v>Computer sabotage</v>
      </c>
    </row>
    <row r="21" spans="1:3">
      <c r="A21" s="22">
        <v>27013758</v>
      </c>
      <c r="B21" s="23">
        <v>4</v>
      </c>
      <c r="C21" t="str">
        <f>VLOOKUP(B21,Topics[],2,FALSE)</f>
        <v>Cyberstalking and personal safety</v>
      </c>
    </row>
    <row r="22" spans="1:3">
      <c r="A22" s="22">
        <v>27019284</v>
      </c>
      <c r="B22" s="23">
        <v>4</v>
      </c>
      <c r="C22" t="str">
        <f>VLOOKUP(B22,Topics[],2,FALSE)</f>
        <v>Cyberstalking and personal safety</v>
      </c>
    </row>
    <row r="23" spans="1:3">
      <c r="A23" s="22">
        <v>27030946</v>
      </c>
      <c r="B23" s="23">
        <v>5</v>
      </c>
      <c r="C23" t="str">
        <f>VLOOKUP(B23,Topics[],2,FALSE)</f>
        <v>Personal computer security</v>
      </c>
    </row>
    <row r="24" spans="1:3">
      <c r="A24" s="22">
        <v>27032930</v>
      </c>
      <c r="B24" s="23">
        <v>6</v>
      </c>
      <c r="C24" t="str">
        <f>VLOOKUP(B24,Topics[],2,FALSE)</f>
        <v>Privacy</v>
      </c>
    </row>
    <row r="25" spans="1:3">
      <c r="A25" s="22">
        <v>27036987</v>
      </c>
      <c r="B25" s="23">
        <v>3</v>
      </c>
      <c r="C25" t="str">
        <f>VLOOKUP(B25,Topics[],2,FALSE)</f>
        <v>Online theft and fraud</v>
      </c>
    </row>
    <row r="26" spans="1:3">
      <c r="A26" s="22">
        <v>27037738</v>
      </c>
      <c r="B26" s="23">
        <v>4</v>
      </c>
      <c r="C26" t="str">
        <f>VLOOKUP(B26,Topics[],2,FALSE)</f>
        <v>Cyberstalking and personal safety</v>
      </c>
    </row>
    <row r="27" spans="1:3">
      <c r="A27" s="22">
        <v>27058018</v>
      </c>
      <c r="B27" s="23">
        <v>6</v>
      </c>
      <c r="C27" t="str">
        <f>VLOOKUP(B27,Topics[],2,FALSE)</f>
        <v>Privacy</v>
      </c>
    </row>
    <row r="28" spans="1:3">
      <c r="A28" s="22">
        <v>27064395</v>
      </c>
      <c r="B28" s="23">
        <v>2</v>
      </c>
      <c r="C28" t="str">
        <f>VLOOKUP(B28,Topics[],2,FALSE)</f>
        <v>Computer sabotage</v>
      </c>
    </row>
    <row r="29" spans="1:3">
      <c r="A29" s="22">
        <v>27084817</v>
      </c>
      <c r="B29" s="23">
        <v>6</v>
      </c>
      <c r="C29" t="str">
        <f>VLOOKUP(B29,Topics[],2,FALSE)</f>
        <v>Privacy</v>
      </c>
    </row>
    <row r="30" spans="1:3">
      <c r="A30" s="22">
        <v>27125726</v>
      </c>
      <c r="B30" s="23">
        <v>2</v>
      </c>
      <c r="C30" t="str">
        <f>VLOOKUP(B30,Topics[],2,FALSE)</f>
        <v>Computer sabotage</v>
      </c>
    </row>
    <row r="31" spans="1:3">
      <c r="A31" s="22">
        <v>27149897</v>
      </c>
      <c r="B31" s="23">
        <v>1</v>
      </c>
      <c r="C31" t="str">
        <f>VLOOKUP(B31,Topics[],2,FALSE)</f>
        <v>Unauthorised access and use</v>
      </c>
    </row>
    <row r="32" spans="1:3">
      <c r="A32" s="22">
        <v>27193144</v>
      </c>
      <c r="B32" s="23">
        <v>1</v>
      </c>
      <c r="C32" t="str">
        <f>VLOOKUP(B32,Topics[],2,FALSE)</f>
        <v>Unauthorised access and use</v>
      </c>
    </row>
    <row r="33" spans="1:3">
      <c r="A33" s="22">
        <v>27217868</v>
      </c>
      <c r="B33" s="23">
        <v>6</v>
      </c>
      <c r="C33" t="str">
        <f>VLOOKUP(B33,Topics[],2,FALSE)</f>
        <v>Privacy</v>
      </c>
    </row>
    <row r="34" spans="1:3">
      <c r="A34" s="22">
        <v>27230813</v>
      </c>
      <c r="B34" s="23">
        <v>1</v>
      </c>
      <c r="C34" t="str">
        <f>VLOOKUP(B34,Topics[],2,FALSE)</f>
        <v>Unauthorised access and use</v>
      </c>
    </row>
    <row r="35" spans="1:3">
      <c r="A35" s="22">
        <v>27247457</v>
      </c>
      <c r="B35" s="23">
        <v>6</v>
      </c>
      <c r="C35" t="str">
        <f>VLOOKUP(B35,Topics[],2,FALSE)</f>
        <v>Privacy</v>
      </c>
    </row>
    <row r="36" spans="1:3">
      <c r="A36" s="22">
        <v>27249549</v>
      </c>
      <c r="B36" s="23">
        <v>4</v>
      </c>
      <c r="C36" t="str">
        <f>VLOOKUP(B36,Topics[],2,FALSE)</f>
        <v>Cyberstalking and personal safety</v>
      </c>
    </row>
    <row r="37" spans="1:3">
      <c r="A37" s="22">
        <v>27271498</v>
      </c>
      <c r="B37" s="23">
        <v>6</v>
      </c>
      <c r="C37" t="str">
        <f>VLOOKUP(B37,Topics[],2,FALSE)</f>
        <v>Privacy</v>
      </c>
    </row>
    <row r="38" spans="1:3">
      <c r="A38" s="22">
        <v>27319555</v>
      </c>
      <c r="B38" s="23">
        <v>4</v>
      </c>
      <c r="C38" t="str">
        <f>VLOOKUP(B38,Topics[],2,FALSE)</f>
        <v>Cyberstalking and personal safety</v>
      </c>
    </row>
    <row r="39" spans="1:3">
      <c r="A39" s="22">
        <v>27344290</v>
      </c>
      <c r="B39" s="23">
        <v>4</v>
      </c>
      <c r="C39" t="str">
        <f>VLOOKUP(B39,Topics[],2,FALSE)</f>
        <v>Cyberstalking and personal safety</v>
      </c>
    </row>
    <row r="40" spans="1:3">
      <c r="A40" s="22">
        <v>27345122</v>
      </c>
      <c r="B40" s="23">
        <v>5</v>
      </c>
      <c r="C40" t="str">
        <f>VLOOKUP(B40,Topics[],2,FALSE)</f>
        <v>Personal computer security</v>
      </c>
    </row>
    <row r="41" spans="1:3">
      <c r="A41" s="22">
        <v>27436837</v>
      </c>
      <c r="B41" s="23">
        <v>6</v>
      </c>
      <c r="C41" t="str">
        <f>VLOOKUP(B41,Topics[],2,FALSE)</f>
        <v>Privacy</v>
      </c>
    </row>
    <row r="42" spans="1:3">
      <c r="A42" s="22">
        <v>27530264</v>
      </c>
      <c r="B42" s="23">
        <v>4</v>
      </c>
      <c r="C42" t="str">
        <f>VLOOKUP(B42,Topics[],2,FALSE)</f>
        <v>Cyberstalking and personal safety</v>
      </c>
    </row>
    <row r="43" spans="1:3">
      <c r="A43" s="22">
        <v>27550427</v>
      </c>
      <c r="B43" s="23">
        <v>1</v>
      </c>
      <c r="C43" t="str">
        <f>VLOOKUP(B43,Topics[],2,FALSE)</f>
        <v>Unauthorised access and use</v>
      </c>
    </row>
    <row r="44" spans="1:3">
      <c r="A44" s="22">
        <v>27568954</v>
      </c>
      <c r="B44" s="23">
        <v>2</v>
      </c>
      <c r="C44" t="str">
        <f>VLOOKUP(B44,Topics[],2,FALSE)</f>
        <v>Computer sabotage</v>
      </c>
    </row>
    <row r="45" spans="1:3">
      <c r="A45" s="22">
        <v>27578429</v>
      </c>
      <c r="B45" s="23">
        <v>6</v>
      </c>
      <c r="C45" t="str">
        <f>VLOOKUP(B45,Topics[],2,FALSE)</f>
        <v>Privacy</v>
      </c>
    </row>
    <row r="46" spans="1:3">
      <c r="A46" s="22">
        <v>27686922</v>
      </c>
      <c r="B46" s="23">
        <v>6</v>
      </c>
      <c r="C46" t="str">
        <f>VLOOKUP(B46,Topics[],2,FALSE)</f>
        <v>Privacy</v>
      </c>
    </row>
    <row r="47" spans="1:3">
      <c r="A47" s="22">
        <v>27752410</v>
      </c>
      <c r="B47" s="23">
        <v>5</v>
      </c>
      <c r="C47" t="str">
        <f>VLOOKUP(B47,Topics[],2,FALSE)</f>
        <v>Personal computer security</v>
      </c>
    </row>
    <row r="48" spans="1:3">
      <c r="A48" s="22">
        <v>27796329</v>
      </c>
      <c r="B48" s="23">
        <v>5</v>
      </c>
      <c r="C48" t="str">
        <f>VLOOKUP(B48,Topics[],2,FALSE)</f>
        <v>Personal computer security</v>
      </c>
    </row>
    <row r="49" spans="1:3">
      <c r="A49" s="22">
        <v>27952452</v>
      </c>
      <c r="B49" s="23">
        <v>6</v>
      </c>
      <c r="C49" t="str">
        <f>VLOOKUP(B49,Topics[],2,FALSE)</f>
        <v>Privacy</v>
      </c>
    </row>
    <row r="50" spans="1:3">
      <c r="A50" s="22">
        <v>28016483</v>
      </c>
      <c r="B50" s="23">
        <v>2</v>
      </c>
      <c r="C50" t="str">
        <f>VLOOKUP(B50,Topics[],2,FALSE)</f>
        <v>Computer sabotage</v>
      </c>
    </row>
    <row r="51" spans="1:3">
      <c r="A51" s="22">
        <v>28103440</v>
      </c>
      <c r="B51" s="23">
        <v>2</v>
      </c>
      <c r="C51" t="str">
        <f>VLOOKUP(B51,Topics[],2,FALSE)</f>
        <v>Computer sabotage</v>
      </c>
    </row>
    <row r="52" spans="1:3">
      <c r="A52" s="22">
        <v>28111192</v>
      </c>
      <c r="B52" s="23">
        <v>5</v>
      </c>
      <c r="C52" t="str">
        <f>VLOOKUP(B52,Topics[],2,FALSE)</f>
        <v>Personal computer security</v>
      </c>
    </row>
    <row r="53" spans="1:3">
      <c r="A53" s="22">
        <v>28150155</v>
      </c>
      <c r="B53" s="23">
        <v>2</v>
      </c>
      <c r="C53" t="str">
        <f>VLOOKUP(B53,Topics[],2,FALSE)</f>
        <v>Computer sabotage</v>
      </c>
    </row>
    <row r="54" spans="1:3">
      <c r="A54" s="22">
        <v>28265548</v>
      </c>
      <c r="B54" s="23">
        <v>4</v>
      </c>
      <c r="C54" t="str">
        <f>VLOOKUP(B54,Topics[],2,FALSE)</f>
        <v>Cyberstalking and personal safety</v>
      </c>
    </row>
    <row r="55" spans="1:3">
      <c r="A55" s="22">
        <v>28378946</v>
      </c>
      <c r="B55" s="23">
        <v>1</v>
      </c>
      <c r="C55" t="str">
        <f>VLOOKUP(B55,Topics[],2,FALSE)</f>
        <v>Unauthorised access and use</v>
      </c>
    </row>
    <row r="56" spans="1:3">
      <c r="A56" s="22">
        <v>28383788</v>
      </c>
      <c r="B56" s="23">
        <v>4</v>
      </c>
      <c r="C56" t="str">
        <f>VLOOKUP(B56,Topics[],2,FALSE)</f>
        <v>Cyberstalking and personal safety</v>
      </c>
    </row>
    <row r="57" spans="1:3">
      <c r="A57" s="22">
        <v>28398408</v>
      </c>
      <c r="B57" s="23">
        <v>2</v>
      </c>
      <c r="C57" t="str">
        <f>VLOOKUP(B57,Topics[],2,FALSE)</f>
        <v>Computer sabotage</v>
      </c>
    </row>
    <row r="58" spans="1:3">
      <c r="A58" s="22">
        <v>28410629</v>
      </c>
      <c r="B58" s="23">
        <v>1</v>
      </c>
      <c r="C58" t="str">
        <f>VLOOKUP(B58,Topics[],2,FALSE)</f>
        <v>Unauthorised access and use</v>
      </c>
    </row>
    <row r="59" spans="1:3">
      <c r="A59" s="22">
        <v>28410688</v>
      </c>
      <c r="B59" s="23">
        <v>5</v>
      </c>
      <c r="C59" t="str">
        <f>VLOOKUP(B59,Topics[],2,FALSE)</f>
        <v>Personal computer security</v>
      </c>
    </row>
    <row r="60" spans="1:3">
      <c r="A60" s="22">
        <v>28413482</v>
      </c>
      <c r="B60" s="23">
        <v>4</v>
      </c>
      <c r="C60" t="str">
        <f>VLOOKUP(B60,Topics[],2,FALSE)</f>
        <v>Cyberstalking and personal safety</v>
      </c>
    </row>
    <row r="61" spans="1:3">
      <c r="A61" s="22">
        <v>28422376</v>
      </c>
      <c r="B61" s="23">
        <v>2</v>
      </c>
      <c r="C61" t="str">
        <f>VLOOKUP(B61,Topics[],2,FALSE)</f>
        <v>Computer sabotage</v>
      </c>
    </row>
    <row r="62" spans="1:3">
      <c r="A62" s="22">
        <v>28423704</v>
      </c>
      <c r="B62" s="23">
        <v>5</v>
      </c>
      <c r="C62" t="str">
        <f>VLOOKUP(B62,Topics[],2,FALSE)</f>
        <v>Personal computer security</v>
      </c>
    </row>
    <row r="63" spans="1:3">
      <c r="A63" s="22">
        <v>28427955</v>
      </c>
      <c r="B63" s="23">
        <v>3</v>
      </c>
      <c r="C63" t="str">
        <f>VLOOKUP(B63,Topics[],2,FALSE)</f>
        <v>Online theft and fraud</v>
      </c>
    </row>
    <row r="64" spans="1:3">
      <c r="A64" s="22">
        <v>28428986</v>
      </c>
      <c r="B64" s="23">
        <v>4</v>
      </c>
      <c r="C64" t="str">
        <f>VLOOKUP(B64,Topics[],2,FALSE)</f>
        <v>Cyberstalking and personal safety</v>
      </c>
    </row>
    <row r="65" spans="1:3">
      <c r="A65" s="22">
        <v>28429249</v>
      </c>
      <c r="B65" s="23">
        <v>5</v>
      </c>
      <c r="C65" t="str">
        <f>VLOOKUP(B65,Topics[],2,FALSE)</f>
        <v>Personal computer security</v>
      </c>
    </row>
    <row r="66" spans="1:3">
      <c r="A66" s="22">
        <v>28429370</v>
      </c>
      <c r="B66" s="23">
        <v>5</v>
      </c>
      <c r="C66" t="str">
        <f>VLOOKUP(B66,Topics[],2,FALSE)</f>
        <v>Personal computer security</v>
      </c>
    </row>
    <row r="67" spans="1:3">
      <c r="A67" s="22">
        <v>28429567</v>
      </c>
      <c r="B67" s="23">
        <v>3</v>
      </c>
      <c r="C67" t="str">
        <f>VLOOKUP(B67,Topics[],2,FALSE)</f>
        <v>Online theft and fraud</v>
      </c>
    </row>
    <row r="68" spans="1:3">
      <c r="A68" s="22">
        <v>28430093</v>
      </c>
      <c r="B68" s="23">
        <v>2</v>
      </c>
      <c r="C68" t="str">
        <f>VLOOKUP(B68,Topics[],2,FALSE)</f>
        <v>Computer sabotage</v>
      </c>
    </row>
    <row r="69" spans="1:3">
      <c r="A69" s="22">
        <v>28434439</v>
      </c>
      <c r="B69" s="23">
        <v>6</v>
      </c>
      <c r="C69" t="str">
        <f>VLOOKUP(B69,Topics[],2,FALSE)</f>
        <v>Privacy</v>
      </c>
    </row>
    <row r="70" spans="1:3">
      <c r="A70" s="22">
        <v>28437713</v>
      </c>
      <c r="B70" s="23">
        <v>1</v>
      </c>
      <c r="C70" t="str">
        <f>VLOOKUP(B70,Topics[],2,FALSE)</f>
        <v>Unauthorised access and use</v>
      </c>
    </row>
    <row r="71" spans="1:3">
      <c r="A71" s="22">
        <v>28440633</v>
      </c>
      <c r="B71" s="23">
        <v>3</v>
      </c>
      <c r="C71" t="str">
        <f>VLOOKUP(B71,Topics[],2,FALSE)</f>
        <v>Online theft and fraud</v>
      </c>
    </row>
    <row r="72" spans="1:3">
      <c r="A72" s="22">
        <v>28444213</v>
      </c>
      <c r="B72" s="23">
        <v>3</v>
      </c>
      <c r="C72" t="str">
        <f>VLOOKUP(B72,Topics[],2,FALSE)</f>
        <v>Online theft and fraud</v>
      </c>
    </row>
    <row r="73" spans="1:3">
      <c r="A73" s="22">
        <v>28444655</v>
      </c>
      <c r="B73" s="23">
        <v>5</v>
      </c>
      <c r="C73" t="str">
        <f>VLOOKUP(B73,Topics[],2,FALSE)</f>
        <v>Personal computer security</v>
      </c>
    </row>
    <row r="74" spans="1:3">
      <c r="A74" s="22">
        <v>28445236</v>
      </c>
      <c r="B74" s="23">
        <v>2</v>
      </c>
      <c r="C74" t="str">
        <f>VLOOKUP(B74,Topics[],2,FALSE)</f>
        <v>Computer sabotage</v>
      </c>
    </row>
    <row r="75" spans="1:3">
      <c r="A75" s="22">
        <v>28447069</v>
      </c>
      <c r="B75" s="23">
        <v>5</v>
      </c>
      <c r="C75" t="str">
        <f>VLOOKUP(B75,Topics[],2,FALSE)</f>
        <v>Personal computer security</v>
      </c>
    </row>
    <row r="76" spans="1:3">
      <c r="A76" s="22">
        <v>28452747</v>
      </c>
      <c r="B76" s="23">
        <v>2</v>
      </c>
      <c r="C76" t="str">
        <f>VLOOKUP(B76,Topics[],2,FALSE)</f>
        <v>Computer sabotage</v>
      </c>
    </row>
    <row r="77" spans="1:3">
      <c r="A77" s="22">
        <v>28460162</v>
      </c>
      <c r="B77" s="23">
        <v>3</v>
      </c>
      <c r="C77" t="str">
        <f>VLOOKUP(B77,Topics[],2,FALSE)</f>
        <v>Online theft and fraud</v>
      </c>
    </row>
    <row r="78" spans="1:3">
      <c r="A78" s="22">
        <v>28461118</v>
      </c>
      <c r="B78" s="23">
        <v>4</v>
      </c>
      <c r="C78" t="str">
        <f>VLOOKUP(B78,Topics[],2,FALSE)</f>
        <v>Cyberstalking and personal safety</v>
      </c>
    </row>
    <row r="79" spans="1:3">
      <c r="A79" s="22">
        <v>28461274</v>
      </c>
      <c r="B79" s="23">
        <v>3</v>
      </c>
      <c r="C79" t="str">
        <f>VLOOKUP(B79,Topics[],2,FALSE)</f>
        <v>Online theft and fraud</v>
      </c>
    </row>
    <row r="80" spans="1:3">
      <c r="A80" s="22">
        <v>28463684</v>
      </c>
      <c r="B80" s="23">
        <v>3</v>
      </c>
      <c r="C80" t="str">
        <f>VLOOKUP(B80,Topics[],2,FALSE)</f>
        <v>Online theft and fraud</v>
      </c>
    </row>
    <row r="81" spans="1:3">
      <c r="A81" s="22">
        <v>28464060</v>
      </c>
      <c r="B81" s="23">
        <v>3</v>
      </c>
      <c r="C81" t="str">
        <f>VLOOKUP(B81,Topics[],2,FALSE)</f>
        <v>Online theft and fraud</v>
      </c>
    </row>
    <row r="82" spans="1:3">
      <c r="A82" s="22">
        <v>28464230</v>
      </c>
      <c r="B82" s="23">
        <v>5</v>
      </c>
      <c r="C82" t="str">
        <f>VLOOKUP(B82,Topics[],2,FALSE)</f>
        <v>Personal computer security</v>
      </c>
    </row>
    <row r="83" spans="1:3">
      <c r="A83" s="22">
        <v>28470087</v>
      </c>
      <c r="B83" s="23">
        <v>4</v>
      </c>
      <c r="C83" t="str">
        <f>VLOOKUP(B83,Topics[],2,FALSE)</f>
        <v>Cyberstalking and personal safety</v>
      </c>
    </row>
    <row r="84" spans="1:3">
      <c r="A84" s="22">
        <v>28471628</v>
      </c>
      <c r="B84" s="23">
        <v>2</v>
      </c>
      <c r="C84" t="str">
        <f>VLOOKUP(B84,Topics[],2,FALSE)</f>
        <v>Computer sabotage</v>
      </c>
    </row>
    <row r="85" spans="1:3">
      <c r="A85" s="22">
        <v>28475046</v>
      </c>
      <c r="B85" s="23">
        <v>3</v>
      </c>
      <c r="C85" t="str">
        <f>VLOOKUP(B85,Topics[],2,FALSE)</f>
        <v>Online theft and fraud</v>
      </c>
    </row>
    <row r="86" spans="1:3">
      <c r="A86" s="22">
        <v>28477154</v>
      </c>
      <c r="B86" s="23">
        <v>2</v>
      </c>
      <c r="C86" t="str">
        <f>VLOOKUP(B86,Topics[],2,FALSE)</f>
        <v>Computer sabotage</v>
      </c>
    </row>
    <row r="87" spans="1:3">
      <c r="A87" s="22">
        <v>28484509</v>
      </c>
      <c r="B87" s="23">
        <v>2</v>
      </c>
      <c r="C87" t="str">
        <f>VLOOKUP(B87,Topics[],2,FALSE)</f>
        <v>Computer sabotage</v>
      </c>
    </row>
    <row r="88" spans="1:3">
      <c r="A88" s="22">
        <v>28485734</v>
      </c>
      <c r="B88" s="23">
        <v>5</v>
      </c>
      <c r="C88" t="str">
        <f>VLOOKUP(B88,Topics[],2,FALSE)</f>
        <v>Personal computer security</v>
      </c>
    </row>
    <row r="89" spans="1:3">
      <c r="A89" s="22">
        <v>28488318</v>
      </c>
      <c r="B89" s="23">
        <v>1</v>
      </c>
      <c r="C89" t="str">
        <f>VLOOKUP(B89,Topics[],2,FALSE)</f>
        <v>Unauthorised access and use</v>
      </c>
    </row>
    <row r="90" spans="1:3">
      <c r="A90" s="22">
        <v>28493958</v>
      </c>
      <c r="B90" s="23">
        <v>5</v>
      </c>
      <c r="C90" t="str">
        <f>VLOOKUP(B90,Topics[],2,FALSE)</f>
        <v>Personal computer security</v>
      </c>
    </row>
    <row r="91" spans="1:3">
      <c r="A91" s="22">
        <v>28497929</v>
      </c>
      <c r="B91" s="23">
        <v>4</v>
      </c>
      <c r="C91" t="str">
        <f>VLOOKUP(B91,Topics[],2,FALSE)</f>
        <v>Cyberstalking and personal safety</v>
      </c>
    </row>
    <row r="92" spans="1:3">
      <c r="A92" s="22">
        <v>28497953</v>
      </c>
      <c r="B92" s="23">
        <v>6</v>
      </c>
      <c r="C92" t="str">
        <f>VLOOKUP(B92,Topics[],2,FALSE)</f>
        <v>Privacy</v>
      </c>
    </row>
    <row r="93" spans="1:3">
      <c r="A93" s="22">
        <v>28498887</v>
      </c>
      <c r="B93" s="23">
        <v>5</v>
      </c>
      <c r="C93" t="str">
        <f>VLOOKUP(B93,Topics[],2,FALSE)</f>
        <v>Personal computer security</v>
      </c>
    </row>
    <row r="94" spans="1:3">
      <c r="A94" s="22">
        <v>28500954</v>
      </c>
      <c r="B94" s="23">
        <v>2</v>
      </c>
      <c r="C94" t="str">
        <f>VLOOKUP(B94,Topics[],2,FALSE)</f>
        <v>Computer sabotage</v>
      </c>
    </row>
    <row r="95" spans="1:3">
      <c r="A95" s="22">
        <v>28502965</v>
      </c>
      <c r="B95" s="23">
        <v>4</v>
      </c>
      <c r="C95" t="str">
        <f>VLOOKUP(B95,Topics[],2,FALSE)</f>
        <v>Cyberstalking and personal safety</v>
      </c>
    </row>
    <row r="96" spans="1:3">
      <c r="A96" s="22">
        <v>28503600</v>
      </c>
      <c r="B96" s="23">
        <v>1</v>
      </c>
      <c r="C96" t="str">
        <f>VLOOKUP(B96,Topics[],2,FALSE)</f>
        <v>Unauthorised access and use</v>
      </c>
    </row>
    <row r="97" spans="1:3">
      <c r="A97" s="22">
        <v>28506979</v>
      </c>
      <c r="B97" s="23">
        <v>5</v>
      </c>
      <c r="C97" t="str">
        <f>VLOOKUP(B97,Topics[],2,FALSE)</f>
        <v>Personal computer security</v>
      </c>
    </row>
    <row r="98" spans="1:3">
      <c r="A98" s="22">
        <v>28507053</v>
      </c>
      <c r="B98" s="23">
        <v>2</v>
      </c>
      <c r="C98" t="str">
        <f>VLOOKUP(B98,Topics[],2,FALSE)</f>
        <v>Computer sabotage</v>
      </c>
    </row>
    <row r="99" spans="1:3">
      <c r="A99" s="22">
        <v>28508998</v>
      </c>
      <c r="B99" s="23">
        <v>5</v>
      </c>
      <c r="C99" t="str">
        <f>VLOOKUP(B99,Topics[],2,FALSE)</f>
        <v>Personal computer security</v>
      </c>
    </row>
    <row r="100" spans="1:3">
      <c r="A100" s="22">
        <v>28510747</v>
      </c>
      <c r="B100" s="23">
        <v>1</v>
      </c>
      <c r="C100" t="str">
        <f>VLOOKUP(B100,Topics[],2,FALSE)</f>
        <v>Unauthorised access and use</v>
      </c>
    </row>
    <row r="101" spans="1:3">
      <c r="A101" s="22">
        <v>28511174</v>
      </c>
      <c r="B101" s="23">
        <v>5</v>
      </c>
      <c r="C101" t="str">
        <f>VLOOKUP(B101,Topics[],2,FALSE)</f>
        <v>Personal computer security</v>
      </c>
    </row>
    <row r="102" spans="1:3">
      <c r="A102" s="22">
        <v>28512154</v>
      </c>
      <c r="B102" s="23">
        <v>2</v>
      </c>
      <c r="C102" t="str">
        <f>VLOOKUP(B102,Topics[],2,FALSE)</f>
        <v>Computer sabotage</v>
      </c>
    </row>
    <row r="103" spans="1:3">
      <c r="A103" s="22">
        <v>28517032</v>
      </c>
      <c r="B103" s="23">
        <v>6</v>
      </c>
      <c r="C103" t="str">
        <f>VLOOKUP(B103,Topics[],2,FALSE)</f>
        <v>Privacy</v>
      </c>
    </row>
    <row r="104" spans="1:3">
      <c r="A104" s="22">
        <v>28521854</v>
      </c>
      <c r="B104" s="23">
        <v>6</v>
      </c>
      <c r="C104" t="str">
        <f>VLOOKUP(B104,Topics[],2,FALSE)</f>
        <v>Privacy</v>
      </c>
    </row>
    <row r="105" spans="1:3">
      <c r="A105" s="22">
        <v>28522125</v>
      </c>
      <c r="B105" s="23">
        <v>2</v>
      </c>
      <c r="C105" t="str">
        <f>VLOOKUP(B105,Topics[],2,FALSE)</f>
        <v>Computer sabotage</v>
      </c>
    </row>
    <row r="106" spans="1:3">
      <c r="A106" s="22">
        <v>28522788</v>
      </c>
      <c r="B106" s="23">
        <v>3</v>
      </c>
      <c r="C106" t="str">
        <f>VLOOKUP(B106,Topics[],2,FALSE)</f>
        <v>Online theft and fraud</v>
      </c>
    </row>
    <row r="107" spans="1:3">
      <c r="A107" s="22">
        <v>28525094</v>
      </c>
      <c r="B107" s="23">
        <v>2</v>
      </c>
      <c r="C107" t="str">
        <f>VLOOKUP(B107,Topics[],2,FALSE)</f>
        <v>Computer sabotage</v>
      </c>
    </row>
    <row r="108" spans="1:3">
      <c r="A108" s="22">
        <v>28526570</v>
      </c>
      <c r="B108" s="23">
        <v>4</v>
      </c>
      <c r="C108" t="str">
        <f>VLOOKUP(B108,Topics[],2,FALSE)</f>
        <v>Cyberstalking and personal safety</v>
      </c>
    </row>
    <row r="109" spans="1:3">
      <c r="A109" s="22">
        <v>28530950</v>
      </c>
      <c r="B109" s="23">
        <v>3</v>
      </c>
      <c r="C109" t="str">
        <f>VLOOKUP(B109,Topics[],2,FALSE)</f>
        <v>Online theft and fraud</v>
      </c>
    </row>
    <row r="110" spans="1:3">
      <c r="A110" s="22">
        <v>28537599</v>
      </c>
      <c r="B110" s="23">
        <v>3</v>
      </c>
      <c r="C110" t="str">
        <f>VLOOKUP(B110,Topics[],2,FALSE)</f>
        <v>Online theft and fraud</v>
      </c>
    </row>
    <row r="111" spans="1:3">
      <c r="A111" s="22">
        <v>28538153</v>
      </c>
      <c r="B111" s="23">
        <v>1</v>
      </c>
      <c r="C111" t="str">
        <f>VLOOKUP(B111,Topics[],2,FALSE)</f>
        <v>Unauthorised access and use</v>
      </c>
    </row>
    <row r="112" spans="1:3">
      <c r="A112" s="22">
        <v>28542029</v>
      </c>
      <c r="B112" s="23">
        <v>6</v>
      </c>
      <c r="C112" t="str">
        <f>VLOOKUP(B112,Topics[],2,FALSE)</f>
        <v>Privacy</v>
      </c>
    </row>
    <row r="113" spans="1:3">
      <c r="A113" s="22">
        <v>28543998</v>
      </c>
      <c r="B113" s="23">
        <v>4</v>
      </c>
      <c r="C113" t="str">
        <f>VLOOKUP(B113,Topics[],2,FALSE)</f>
        <v>Cyberstalking and personal safety</v>
      </c>
    </row>
    <row r="114" spans="1:3">
      <c r="A114" s="22">
        <v>28545486</v>
      </c>
      <c r="B114" s="23">
        <v>1</v>
      </c>
      <c r="C114" t="str">
        <f>VLOOKUP(B114,Topics[],2,FALSE)</f>
        <v>Unauthorised access and use</v>
      </c>
    </row>
    <row r="115" spans="1:3">
      <c r="A115" s="22">
        <v>28546067</v>
      </c>
      <c r="B115" s="23">
        <v>1</v>
      </c>
      <c r="C115" t="str">
        <f>VLOOKUP(B115,Topics[],2,FALSE)</f>
        <v>Unauthorised access and use</v>
      </c>
    </row>
    <row r="116" spans="1:3">
      <c r="A116" s="22">
        <v>28552296</v>
      </c>
      <c r="B116" s="23">
        <v>5</v>
      </c>
      <c r="C116" t="str">
        <f>VLOOKUP(B116,Topics[],2,FALSE)</f>
        <v>Personal computer security</v>
      </c>
    </row>
    <row r="117" spans="1:3">
      <c r="A117" s="22">
        <v>28555392</v>
      </c>
      <c r="B117" s="23">
        <v>3</v>
      </c>
      <c r="C117" t="str">
        <f>VLOOKUP(B117,Topics[],2,FALSE)</f>
        <v>Online theft and fraud</v>
      </c>
    </row>
    <row r="118" spans="1:3">
      <c r="A118" s="22">
        <v>28563077</v>
      </c>
      <c r="B118" s="23">
        <v>1</v>
      </c>
      <c r="C118" t="str">
        <f>VLOOKUP(B118,Topics[],2,FALSE)</f>
        <v>Unauthorised access and use</v>
      </c>
    </row>
    <row r="119" spans="1:3">
      <c r="A119" s="22">
        <v>28568826</v>
      </c>
      <c r="B119" s="23">
        <v>4</v>
      </c>
      <c r="C119" t="str">
        <f>VLOOKUP(B119,Topics[],2,FALSE)</f>
        <v>Cyberstalking and personal safety</v>
      </c>
    </row>
    <row r="120" spans="1:3">
      <c r="A120" s="22">
        <v>28569113</v>
      </c>
      <c r="B120" s="23">
        <v>1</v>
      </c>
      <c r="C120" t="str">
        <f>VLOOKUP(B120,Topics[],2,FALSE)</f>
        <v>Unauthorised access and use</v>
      </c>
    </row>
    <row r="121" spans="1:3">
      <c r="A121" s="22">
        <v>28571800</v>
      </c>
      <c r="B121" s="23">
        <v>6</v>
      </c>
      <c r="C121" t="str">
        <f>VLOOKUP(B121,Topics[],2,FALSE)</f>
        <v>Privacy</v>
      </c>
    </row>
    <row r="122" spans="1:3">
      <c r="A122" s="22">
        <v>28585984</v>
      </c>
      <c r="B122" s="23">
        <v>4</v>
      </c>
      <c r="C122" t="str">
        <f>VLOOKUP(B122,Topics[],2,FALSE)</f>
        <v>Cyberstalking and personal safety</v>
      </c>
    </row>
    <row r="123" spans="1:3">
      <c r="A123" s="22">
        <v>28589009</v>
      </c>
      <c r="B123" s="23">
        <v>6</v>
      </c>
      <c r="C123" t="str">
        <f>VLOOKUP(B123,Topics[],2,FALSE)</f>
        <v>Privacy</v>
      </c>
    </row>
    <row r="124" spans="1:3">
      <c r="A124" s="22">
        <v>28592662</v>
      </c>
      <c r="B124" s="23">
        <v>3</v>
      </c>
      <c r="C124" t="str">
        <f>VLOOKUP(B124,Topics[],2,FALSE)</f>
        <v>Online theft and fraud</v>
      </c>
    </row>
    <row r="125" spans="1:3">
      <c r="A125" s="22">
        <v>28593855</v>
      </c>
      <c r="B125" s="23">
        <v>2</v>
      </c>
      <c r="C125" t="str">
        <f>VLOOKUP(B125,Topics[],2,FALSE)</f>
        <v>Computer sabotage</v>
      </c>
    </row>
    <row r="126" spans="1:3">
      <c r="A126" s="22">
        <v>28595327</v>
      </c>
      <c r="B126" s="23">
        <v>6</v>
      </c>
      <c r="C126" t="str">
        <f>VLOOKUP(B126,Topics[],2,FALSE)</f>
        <v>Privacy</v>
      </c>
    </row>
    <row r="127" spans="1:3">
      <c r="A127" s="22">
        <v>28600193</v>
      </c>
      <c r="B127" s="23">
        <v>3</v>
      </c>
      <c r="C127" t="str">
        <f>VLOOKUP(B127,Topics[],2,FALSE)</f>
        <v>Online theft and fraud</v>
      </c>
    </row>
    <row r="128" spans="1:3">
      <c r="A128" s="22">
        <v>28601084</v>
      </c>
      <c r="B128" s="23">
        <v>6</v>
      </c>
      <c r="C128" t="str">
        <f>VLOOKUP(B128,Topics[],2,FALSE)</f>
        <v>Privacy</v>
      </c>
    </row>
    <row r="129" spans="1:3">
      <c r="A129" s="22">
        <v>28606043</v>
      </c>
      <c r="B129" s="23">
        <v>6</v>
      </c>
      <c r="C129" t="str">
        <f>VLOOKUP(B129,Topics[],2,FALSE)</f>
        <v>Privacy</v>
      </c>
    </row>
    <row r="130" spans="1:3">
      <c r="A130" s="22">
        <v>28606140</v>
      </c>
      <c r="B130" s="23">
        <v>1</v>
      </c>
      <c r="C130" t="str">
        <f>VLOOKUP(B130,Topics[],2,FALSE)</f>
        <v>Unauthorised access and use</v>
      </c>
    </row>
    <row r="131" spans="1:3">
      <c r="A131" s="22">
        <v>28612124</v>
      </c>
      <c r="B131" s="23">
        <v>4</v>
      </c>
      <c r="C131" t="str">
        <f>VLOOKUP(B131,Topics[],2,FALSE)</f>
        <v>Cyberstalking and personal safety</v>
      </c>
    </row>
    <row r="132" spans="1:3">
      <c r="A132" s="22">
        <v>28612337</v>
      </c>
      <c r="B132" s="23">
        <v>2</v>
      </c>
      <c r="C132" t="str">
        <f>VLOOKUP(B132,Topics[],2,FALSE)</f>
        <v>Computer sabotage</v>
      </c>
    </row>
    <row r="133" spans="1:3">
      <c r="A133" s="22">
        <v>28617460</v>
      </c>
      <c r="B133" s="23">
        <v>5</v>
      </c>
      <c r="C133" t="str">
        <f>VLOOKUP(B133,Topics[],2,FALSE)</f>
        <v>Personal computer security</v>
      </c>
    </row>
    <row r="134" spans="1:3">
      <c r="A134" s="22">
        <v>28619986</v>
      </c>
      <c r="B134" s="23">
        <v>4</v>
      </c>
      <c r="C134" t="str">
        <f>VLOOKUP(B134,Topics[],2,FALSE)</f>
        <v>Cyberstalking and personal safety</v>
      </c>
    </row>
    <row r="135" spans="1:3">
      <c r="A135" s="22">
        <v>28621522</v>
      </c>
      <c r="B135" s="23">
        <v>4</v>
      </c>
      <c r="C135" t="str">
        <f>VLOOKUP(B135,Topics[],2,FALSE)</f>
        <v>Cyberstalking and personal safety</v>
      </c>
    </row>
    <row r="136" spans="1:3">
      <c r="A136" s="22">
        <v>28626397</v>
      </c>
      <c r="B136" s="23">
        <v>4</v>
      </c>
      <c r="C136" t="str">
        <f>VLOOKUP(B136,Topics[],2,FALSE)</f>
        <v>Cyberstalking and personal safety</v>
      </c>
    </row>
    <row r="137" spans="1:3">
      <c r="A137" s="22">
        <v>28628020</v>
      </c>
      <c r="B137" s="23">
        <v>1</v>
      </c>
      <c r="C137" t="str">
        <f>VLOOKUP(B137,Topics[],2,FALSE)</f>
        <v>Unauthorised access and use</v>
      </c>
    </row>
    <row r="138" spans="1:3">
      <c r="A138" s="22">
        <v>28633512</v>
      </c>
      <c r="B138" s="23">
        <v>2</v>
      </c>
      <c r="C138" t="str">
        <f>VLOOKUP(B138,Topics[],2,FALSE)</f>
        <v>Computer sabotage</v>
      </c>
    </row>
    <row r="139" spans="1:3">
      <c r="A139" s="22">
        <v>28634748</v>
      </c>
      <c r="B139" s="23">
        <v>6</v>
      </c>
      <c r="C139" t="str">
        <f>VLOOKUP(B139,Topics[],2,FALSE)</f>
        <v>Privacy</v>
      </c>
    </row>
    <row r="140" spans="1:3">
      <c r="A140" s="22">
        <v>28635248</v>
      </c>
      <c r="B140" s="23">
        <v>1</v>
      </c>
      <c r="C140" t="str">
        <f>VLOOKUP(B140,Topics[],2,FALSE)</f>
        <v>Unauthorised access and use</v>
      </c>
    </row>
    <row r="141" spans="1:3">
      <c r="A141" s="22">
        <v>28635302</v>
      </c>
      <c r="B141" s="23">
        <v>4</v>
      </c>
      <c r="C141" t="str">
        <f>VLOOKUP(B141,Topics[],2,FALSE)</f>
        <v>Cyberstalking and personal safety</v>
      </c>
    </row>
    <row r="142" spans="1:3">
      <c r="A142" s="22">
        <v>28642120</v>
      </c>
      <c r="B142" s="23">
        <v>3</v>
      </c>
      <c r="C142" t="str">
        <f>VLOOKUP(B142,Topics[],2,FALSE)</f>
        <v>Online theft and fraud</v>
      </c>
    </row>
    <row r="143" spans="1:3">
      <c r="A143" s="22">
        <v>28644395</v>
      </c>
      <c r="B143" s="23">
        <v>4</v>
      </c>
      <c r="C143" t="str">
        <f>VLOOKUP(B143,Topics[],2,FALSE)</f>
        <v>Cyberstalking and personal safety</v>
      </c>
    </row>
    <row r="144" spans="1:3">
      <c r="A144" s="22">
        <v>28648218</v>
      </c>
      <c r="B144" s="23">
        <v>5</v>
      </c>
      <c r="C144" t="str">
        <f>VLOOKUP(B144,Topics[],2,FALSE)</f>
        <v>Personal computer security</v>
      </c>
    </row>
    <row r="145" spans="1:3">
      <c r="A145" s="22">
        <v>28656377</v>
      </c>
      <c r="B145" s="23">
        <v>6</v>
      </c>
      <c r="C145" t="str">
        <f>VLOOKUP(B145,Topics[],2,FALSE)</f>
        <v>Privacy</v>
      </c>
    </row>
    <row r="146" spans="1:3">
      <c r="A146" s="22">
        <v>28660838</v>
      </c>
      <c r="B146" s="23">
        <v>5</v>
      </c>
      <c r="C146" t="str">
        <f>VLOOKUP(B146,Topics[],2,FALSE)</f>
        <v>Personal computer security</v>
      </c>
    </row>
    <row r="147" spans="1:3">
      <c r="A147" s="22">
        <v>28666712</v>
      </c>
      <c r="B147" s="23">
        <v>2</v>
      </c>
      <c r="C147" t="str">
        <f>VLOOKUP(B147,Topics[],2,FALSE)</f>
        <v>Computer sabotage</v>
      </c>
    </row>
    <row r="148" spans="1:3">
      <c r="A148" s="22">
        <v>28667735</v>
      </c>
      <c r="B148" s="23">
        <v>3</v>
      </c>
      <c r="C148" t="str">
        <f>VLOOKUP(B148,Topics[],2,FALSE)</f>
        <v>Online theft and fraud</v>
      </c>
    </row>
    <row r="149" spans="1:3">
      <c r="A149" s="22">
        <v>28672534</v>
      </c>
      <c r="B149" s="23">
        <v>4</v>
      </c>
      <c r="C149" t="str">
        <f>VLOOKUP(B149,Topics[],2,FALSE)</f>
        <v>Cyberstalking and personal safety</v>
      </c>
    </row>
    <row r="150" spans="1:3">
      <c r="A150" s="22">
        <v>28676483</v>
      </c>
      <c r="B150" s="23">
        <v>1</v>
      </c>
      <c r="C150" t="str">
        <f>VLOOKUP(B150,Topics[],2,FALSE)</f>
        <v>Unauthorised access and use</v>
      </c>
    </row>
    <row r="151" spans="1:3">
      <c r="A151" s="22">
        <v>28684826</v>
      </c>
      <c r="B151" s="23">
        <v>6</v>
      </c>
      <c r="C151" t="str">
        <f>VLOOKUP(B151,Topics[],2,FALSE)</f>
        <v>Privacy</v>
      </c>
    </row>
    <row r="152" spans="1:3">
      <c r="A152" s="22">
        <v>28685393</v>
      </c>
      <c r="B152" s="23">
        <v>2</v>
      </c>
      <c r="C152" t="str">
        <f>VLOOKUP(B152,Topics[],2,FALSE)</f>
        <v>Computer sabotage</v>
      </c>
    </row>
    <row r="153" spans="1:3">
      <c r="A153" s="22">
        <v>28689399</v>
      </c>
      <c r="B153" s="23">
        <v>4</v>
      </c>
      <c r="C153" t="str">
        <f>VLOOKUP(B153,Topics[],2,FALSE)</f>
        <v>Cyberstalking and personal safety</v>
      </c>
    </row>
    <row r="154" spans="1:3">
      <c r="A154" s="22">
        <v>28691857</v>
      </c>
      <c r="B154" s="23">
        <v>1</v>
      </c>
      <c r="C154" t="str">
        <f>VLOOKUP(B154,Topics[],2,FALSE)</f>
        <v>Unauthorised access and use</v>
      </c>
    </row>
    <row r="155" spans="1:3">
      <c r="A155" s="22">
        <v>28698207</v>
      </c>
      <c r="B155" s="23">
        <v>4</v>
      </c>
      <c r="C155" t="str">
        <f>VLOOKUP(B155,Topics[],2,FALSE)</f>
        <v>Cyberstalking and personal safety</v>
      </c>
    </row>
    <row r="156" spans="1:3">
      <c r="A156" s="22">
        <v>28704010</v>
      </c>
      <c r="B156" s="23">
        <v>6</v>
      </c>
      <c r="C156" t="str">
        <f>VLOOKUP(B156,Topics[],2,FALSE)</f>
        <v>Privacy</v>
      </c>
    </row>
    <row r="157" spans="1:3">
      <c r="A157" s="22">
        <v>28707362</v>
      </c>
      <c r="B157" s="23">
        <v>6</v>
      </c>
      <c r="C157" t="str">
        <f>VLOOKUP(B157,Topics[],2,FALSE)</f>
        <v>Privacy</v>
      </c>
    </row>
    <row r="158" spans="1:3">
      <c r="A158" s="22">
        <v>28708156</v>
      </c>
      <c r="B158" s="23">
        <v>2</v>
      </c>
      <c r="C158" t="str">
        <f>VLOOKUP(B158,Topics[],2,FALSE)</f>
        <v>Computer sabotage</v>
      </c>
    </row>
    <row r="159" spans="1:3">
      <c r="A159" s="22">
        <v>28708563</v>
      </c>
      <c r="B159" s="23">
        <v>6</v>
      </c>
      <c r="C159" t="str">
        <f>VLOOKUP(B159,Topics[],2,FALSE)</f>
        <v>Privacy</v>
      </c>
    </row>
    <row r="160" spans="1:3">
      <c r="A160" s="22">
        <v>28708776</v>
      </c>
      <c r="B160" s="23">
        <v>5</v>
      </c>
      <c r="C160" t="str">
        <f>VLOOKUP(B160,Topics[],2,FALSE)</f>
        <v>Personal computer security</v>
      </c>
    </row>
    <row r="161" spans="1:3">
      <c r="A161" s="22">
        <v>28710509</v>
      </c>
      <c r="B161" s="23">
        <v>4</v>
      </c>
      <c r="C161" t="str">
        <f>VLOOKUP(B161,Topics[],2,FALSE)</f>
        <v>Cyberstalking and personal safety</v>
      </c>
    </row>
    <row r="162" spans="1:3">
      <c r="A162" s="22">
        <v>28710827</v>
      </c>
      <c r="B162" s="23">
        <v>3</v>
      </c>
      <c r="C162" t="str">
        <f>VLOOKUP(B162,Topics[],2,FALSE)</f>
        <v>Online theft and fraud</v>
      </c>
    </row>
    <row r="163" spans="1:3">
      <c r="A163" s="22">
        <v>28713303</v>
      </c>
      <c r="B163" s="23">
        <v>1</v>
      </c>
      <c r="C163" t="str">
        <f>VLOOKUP(B163,Topics[],2,FALSE)</f>
        <v>Unauthorised access and use</v>
      </c>
    </row>
    <row r="164" spans="1:3">
      <c r="A164" s="22">
        <v>28713788</v>
      </c>
      <c r="B164" s="23">
        <v>6</v>
      </c>
      <c r="C164" t="str">
        <f>VLOOKUP(B164,Topics[],2,FALSE)</f>
        <v>Privacy</v>
      </c>
    </row>
    <row r="165" spans="1:3">
      <c r="A165" s="22">
        <v>28716485</v>
      </c>
      <c r="B165" s="23">
        <v>1</v>
      </c>
      <c r="C165" t="str">
        <f>VLOOKUP(B165,Topics[],2,FALSE)</f>
        <v>Unauthorised access and use</v>
      </c>
    </row>
    <row r="166" spans="1:3">
      <c r="A166" s="22">
        <v>28718224</v>
      </c>
      <c r="B166" s="23">
        <v>2</v>
      </c>
      <c r="C166" t="str">
        <f>VLOOKUP(B166,Topics[],2,FALSE)</f>
        <v>Computer sabotage</v>
      </c>
    </row>
    <row r="167" spans="1:3">
      <c r="A167" s="22">
        <v>28721470</v>
      </c>
      <c r="B167" s="23">
        <v>3</v>
      </c>
      <c r="C167" t="str">
        <f>VLOOKUP(B167,Topics[],2,FALSE)</f>
        <v>Online theft and fraud</v>
      </c>
    </row>
    <row r="168" spans="1:3">
      <c r="A168" s="22">
        <v>28730313</v>
      </c>
      <c r="B168" s="23">
        <v>6</v>
      </c>
      <c r="C168" t="str">
        <f>VLOOKUP(B168,Topics[],2,FALSE)</f>
        <v>Privacy</v>
      </c>
    </row>
    <row r="169" spans="1:3">
      <c r="A169" s="22">
        <v>28740122</v>
      </c>
      <c r="B169" s="23">
        <v>5</v>
      </c>
      <c r="C169" t="str">
        <f>VLOOKUP(B169,Topics[],2,FALSE)</f>
        <v>Personal computer security</v>
      </c>
    </row>
    <row r="170" spans="1:3">
      <c r="A170" s="22">
        <v>28741412</v>
      </c>
      <c r="B170" s="23">
        <v>3</v>
      </c>
      <c r="C170" t="str">
        <f>VLOOKUP(B170,Topics[],2,FALSE)</f>
        <v>Online theft and fraud</v>
      </c>
    </row>
    <row r="171" spans="1:3">
      <c r="A171" s="22">
        <v>28749995</v>
      </c>
      <c r="B171" s="23">
        <v>5</v>
      </c>
      <c r="C171" t="str">
        <f>VLOOKUP(B171,Topics[],2,FALSE)</f>
        <v>Personal computer security</v>
      </c>
    </row>
    <row r="172" spans="1:3">
      <c r="A172" s="22">
        <v>28752732</v>
      </c>
      <c r="B172" s="23">
        <v>5</v>
      </c>
      <c r="C172" t="str">
        <f>VLOOKUP(B172,Topics[],2,FALSE)</f>
        <v>Personal computer security</v>
      </c>
    </row>
    <row r="173" spans="1:3">
      <c r="A173" s="22">
        <v>28753909</v>
      </c>
      <c r="B173" s="23">
        <v>5</v>
      </c>
      <c r="C173" t="str">
        <f>VLOOKUP(B173,Topics[],2,FALSE)</f>
        <v>Personal computer security</v>
      </c>
    </row>
    <row r="174" spans="1:3">
      <c r="A174" s="22">
        <v>28754867</v>
      </c>
      <c r="B174" s="23">
        <v>2</v>
      </c>
      <c r="C174" t="str">
        <f>VLOOKUP(B174,Topics[],2,FALSE)</f>
        <v>Computer sabotage</v>
      </c>
    </row>
    <row r="175" spans="1:3">
      <c r="A175" s="22">
        <v>28756290</v>
      </c>
      <c r="B175" s="23">
        <v>6</v>
      </c>
      <c r="C175" t="str">
        <f>VLOOKUP(B175,Topics[],2,FALSE)</f>
        <v>Privacy</v>
      </c>
    </row>
    <row r="176" spans="1:3">
      <c r="A176" s="22">
        <v>28760654</v>
      </c>
      <c r="B176" s="23">
        <v>2</v>
      </c>
      <c r="C176" t="str">
        <f>VLOOKUP(B176,Topics[],2,FALSE)</f>
        <v>Computer sabotage</v>
      </c>
    </row>
    <row r="177" spans="1:3">
      <c r="A177" s="22">
        <v>28763564</v>
      </c>
      <c r="B177" s="23">
        <v>1</v>
      </c>
      <c r="C177" t="str">
        <f>VLOOKUP(B177,Topics[],2,FALSE)</f>
        <v>Unauthorised access and use</v>
      </c>
    </row>
    <row r="178" spans="1:3">
      <c r="A178" s="22">
        <v>28765737</v>
      </c>
      <c r="B178" s="23">
        <v>2</v>
      </c>
      <c r="C178" t="str">
        <f>VLOOKUP(B178,Topics[],2,FALSE)</f>
        <v>Computer sabotage</v>
      </c>
    </row>
    <row r="179" spans="1:3">
      <c r="A179" s="22">
        <v>28765796</v>
      </c>
      <c r="B179" s="23">
        <v>5</v>
      </c>
      <c r="C179" t="str">
        <f>VLOOKUP(B179,Topics[],2,FALSE)</f>
        <v>Personal computer security</v>
      </c>
    </row>
    <row r="180" spans="1:3">
      <c r="A180" s="22">
        <v>28771915</v>
      </c>
      <c r="B180" s="23">
        <v>6</v>
      </c>
      <c r="C180" t="str">
        <f>VLOOKUP(B180,Topics[],2,FALSE)</f>
        <v>Privacy</v>
      </c>
    </row>
    <row r="181" spans="1:3">
      <c r="A181" s="22">
        <v>28785827</v>
      </c>
      <c r="B181" s="23">
        <v>3</v>
      </c>
      <c r="C181" t="str">
        <f>VLOOKUP(B181,Topics[],2,FALSE)</f>
        <v>Online theft and fraud</v>
      </c>
    </row>
    <row r="182" spans="1:3">
      <c r="A182" s="22">
        <v>28786939</v>
      </c>
      <c r="B182" s="23">
        <v>3</v>
      </c>
      <c r="C182" t="str">
        <f>VLOOKUP(B182,Topics[],2,FALSE)</f>
        <v>Online theft and fraud</v>
      </c>
    </row>
    <row r="183" spans="1:3">
      <c r="A183" s="22">
        <v>28790405</v>
      </c>
      <c r="B183" s="23">
        <v>5</v>
      </c>
      <c r="C183" t="str">
        <f>VLOOKUP(B183,Topics[],2,FALSE)</f>
        <v>Personal computer security</v>
      </c>
    </row>
    <row r="184" spans="1:3">
      <c r="A184" s="22">
        <v>28797949</v>
      </c>
      <c r="B184" s="23">
        <v>2</v>
      </c>
      <c r="C184" t="str">
        <f>VLOOKUP(B184,Topics[],2,FALSE)</f>
        <v>Computer sabotage</v>
      </c>
    </row>
    <row r="185" spans="1:3">
      <c r="A185" s="22">
        <v>28802896</v>
      </c>
      <c r="B185" s="23">
        <v>4</v>
      </c>
      <c r="C185" t="str">
        <f>VLOOKUP(B185,Topics[],2,FALSE)</f>
        <v>Cyberstalking and personal safety</v>
      </c>
    </row>
    <row r="186" spans="1:3">
      <c r="A186" s="22">
        <v>28807480</v>
      </c>
      <c r="B186" s="23">
        <v>6</v>
      </c>
      <c r="C186" t="str">
        <f>VLOOKUP(B186,Topics[],2,FALSE)</f>
        <v>Privacy</v>
      </c>
    </row>
    <row r="187" spans="1:3">
      <c r="A187" s="22">
        <v>28807995</v>
      </c>
      <c r="B187" s="23">
        <v>5</v>
      </c>
      <c r="C187" t="str">
        <f>VLOOKUP(B187,Topics[],2,FALSE)</f>
        <v>Personal computer security</v>
      </c>
    </row>
    <row r="188" spans="1:3">
      <c r="A188" s="22">
        <v>28809742</v>
      </c>
      <c r="B188" s="23">
        <v>1</v>
      </c>
      <c r="C188" t="str">
        <f>VLOOKUP(B188,Topics[],2,FALSE)</f>
        <v>Unauthorised access and use</v>
      </c>
    </row>
    <row r="189" spans="1:3">
      <c r="A189" s="22">
        <v>28816293</v>
      </c>
      <c r="B189" s="23">
        <v>3</v>
      </c>
      <c r="C189" t="str">
        <f>VLOOKUP(B189,Topics[],2,FALSE)</f>
        <v>Online theft and fraud</v>
      </c>
    </row>
    <row r="190" spans="1:3">
      <c r="A190" s="22">
        <v>28824903</v>
      </c>
      <c r="B190" s="23">
        <v>6</v>
      </c>
      <c r="C190" t="str">
        <f>VLOOKUP(B190,Topics[],2,FALSE)</f>
        <v>Privacy</v>
      </c>
    </row>
    <row r="191" spans="1:3">
      <c r="A191" s="22">
        <v>28829557</v>
      </c>
      <c r="B191" s="23">
        <v>6</v>
      </c>
      <c r="C191" t="str">
        <f>VLOOKUP(B191,Topics[],2,FALSE)</f>
        <v>Privacy</v>
      </c>
    </row>
    <row r="192" spans="1:3">
      <c r="A192" s="22">
        <v>28831810</v>
      </c>
      <c r="B192" s="23">
        <v>5</v>
      </c>
      <c r="C192" t="str">
        <f>VLOOKUP(B192,Topics[],2,FALSE)</f>
        <v>Personal computer security</v>
      </c>
    </row>
    <row r="193" spans="1:3">
      <c r="A193" s="22">
        <v>28834852</v>
      </c>
      <c r="B193" s="23">
        <v>3</v>
      </c>
      <c r="C193" t="str">
        <f>VLOOKUP(B193,Topics[],2,FALSE)</f>
        <v>Online theft and fraud</v>
      </c>
    </row>
    <row r="194" spans="1:3">
      <c r="A194" s="22">
        <v>28836324</v>
      </c>
      <c r="B194" s="23">
        <v>1</v>
      </c>
      <c r="C194" t="str">
        <f>VLOOKUP(B194,Topics[],2,FALSE)</f>
        <v>Unauthorised access and use</v>
      </c>
    </row>
    <row r="195" spans="1:3">
      <c r="A195" s="22">
        <v>28842979</v>
      </c>
      <c r="B195" s="23">
        <v>6</v>
      </c>
      <c r="C195" t="str">
        <f>VLOOKUP(B195,Topics[],2,FALSE)</f>
        <v>Privacy</v>
      </c>
    </row>
    <row r="196" spans="1:3">
      <c r="A196" s="22">
        <v>28843673</v>
      </c>
      <c r="B196" s="23">
        <v>5</v>
      </c>
      <c r="C196" t="str">
        <f>VLOOKUP(B196,Topics[],2,FALSE)</f>
        <v>Personal computer security</v>
      </c>
    </row>
    <row r="197" spans="1:3">
      <c r="A197" s="22">
        <v>28844025</v>
      </c>
      <c r="B197" s="23">
        <v>1</v>
      </c>
      <c r="C197" t="str">
        <f>VLOOKUP(B197,Topics[],2,FALSE)</f>
        <v>Unauthorised access and use</v>
      </c>
    </row>
    <row r="198" spans="1:3">
      <c r="A198" s="22">
        <v>28847849</v>
      </c>
      <c r="B198" s="23">
        <v>3</v>
      </c>
      <c r="C198" t="str">
        <f>VLOOKUP(B198,Topics[],2,FALSE)</f>
        <v>Online theft and fraud</v>
      </c>
    </row>
    <row r="199" spans="1:3">
      <c r="A199" s="22">
        <v>28855647</v>
      </c>
      <c r="B199" s="23">
        <v>5</v>
      </c>
      <c r="C199" t="str">
        <f>VLOOKUP(B199,Topics[],2,FALSE)</f>
        <v>Personal computer security</v>
      </c>
    </row>
    <row r="200" spans="1:3">
      <c r="A200" s="22">
        <v>28855817</v>
      </c>
      <c r="B200" s="23">
        <v>4</v>
      </c>
      <c r="C200" t="str">
        <f>VLOOKUP(B200,Topics[],2,FALSE)</f>
        <v>Cyberstalking and personal safety</v>
      </c>
    </row>
    <row r="201" spans="1:3">
      <c r="A201" s="22">
        <v>28856805</v>
      </c>
      <c r="B201" s="23">
        <v>3</v>
      </c>
      <c r="C201" t="str">
        <f>VLOOKUP(B201,Topics[],2,FALSE)</f>
        <v>Online theft and fraud</v>
      </c>
    </row>
    <row r="202" spans="1:3">
      <c r="A202" s="22">
        <v>28856880</v>
      </c>
      <c r="B202" s="23">
        <v>3</v>
      </c>
      <c r="C202" t="str">
        <f>VLOOKUP(B202,Topics[],2,FALSE)</f>
        <v>Online theft and fraud</v>
      </c>
    </row>
    <row r="203" spans="1:3">
      <c r="A203" s="22">
        <v>28857879</v>
      </c>
      <c r="B203" s="23">
        <v>4</v>
      </c>
      <c r="C203" t="str">
        <f>VLOOKUP(B203,Topics[],2,FALSE)</f>
        <v>Cyberstalking and personal safety</v>
      </c>
    </row>
    <row r="204" spans="1:3">
      <c r="A204" s="22">
        <v>28858239</v>
      </c>
      <c r="B204" s="23">
        <v>1</v>
      </c>
      <c r="C204" t="str">
        <f>VLOOKUP(B204,Topics[],2,FALSE)</f>
        <v>Unauthorised access and use</v>
      </c>
    </row>
    <row r="205" spans="1:3">
      <c r="A205" s="22">
        <v>28862503</v>
      </c>
      <c r="B205" s="23">
        <v>5</v>
      </c>
      <c r="C205" t="str">
        <f>VLOOKUP(B205,Topics[],2,FALSE)</f>
        <v>Personal computer security</v>
      </c>
    </row>
    <row r="206" spans="1:3">
      <c r="A206" s="22">
        <v>28862686</v>
      </c>
      <c r="B206" s="23">
        <v>3</v>
      </c>
      <c r="C206" t="str">
        <f>VLOOKUP(B206,Topics[],2,FALSE)</f>
        <v>Online theft and fraud</v>
      </c>
    </row>
    <row r="207" spans="1:3">
      <c r="A207" s="22">
        <v>28864697</v>
      </c>
      <c r="B207" s="23">
        <v>3</v>
      </c>
      <c r="C207" t="str">
        <f>VLOOKUP(B207,Topics[],2,FALSE)</f>
        <v>Online theft and fraud</v>
      </c>
    </row>
    <row r="208" spans="1:3">
      <c r="A208" s="22">
        <v>28875702</v>
      </c>
      <c r="B208" s="23">
        <v>4</v>
      </c>
      <c r="C208" t="str">
        <f>VLOOKUP(B208,Topics[],2,FALSE)</f>
        <v>Cyberstalking and personal safety</v>
      </c>
    </row>
    <row r="209" spans="1:3">
      <c r="A209" s="22">
        <v>28876903</v>
      </c>
      <c r="B209" s="23">
        <v>5</v>
      </c>
      <c r="C209" t="str">
        <f>VLOOKUP(B209,Topics[],2,FALSE)</f>
        <v>Personal computer security</v>
      </c>
    </row>
    <row r="210" spans="1:3">
      <c r="A210" s="22">
        <v>28883012</v>
      </c>
      <c r="B210" s="23">
        <v>2</v>
      </c>
      <c r="C210" t="str">
        <f>VLOOKUP(B210,Topics[],2,FALSE)</f>
        <v>Computer sabotage</v>
      </c>
    </row>
    <row r="211" spans="1:3">
      <c r="A211" s="22">
        <v>28883977</v>
      </c>
      <c r="B211" s="23">
        <v>5</v>
      </c>
      <c r="C211" t="str">
        <f>VLOOKUP(B211,Topics[],2,FALSE)</f>
        <v>Personal computer security</v>
      </c>
    </row>
    <row r="212" spans="1:3">
      <c r="A212" s="22">
        <v>28884175</v>
      </c>
      <c r="B212" s="23">
        <v>2</v>
      </c>
      <c r="C212" t="str">
        <f>VLOOKUP(B212,Topics[],2,FALSE)</f>
        <v>Computer sabotage</v>
      </c>
    </row>
    <row r="213" spans="1:3">
      <c r="A213" s="22">
        <v>28885139</v>
      </c>
      <c r="B213" s="23">
        <v>6</v>
      </c>
      <c r="C213" t="str">
        <f>VLOOKUP(B213,Topics[],2,FALSE)</f>
        <v>Privacy</v>
      </c>
    </row>
    <row r="214" spans="1:3">
      <c r="A214" s="22">
        <v>28896467</v>
      </c>
      <c r="B214" s="23">
        <v>4</v>
      </c>
      <c r="C214" t="str">
        <f>VLOOKUP(B214,Topics[],2,FALSE)</f>
        <v>Cyberstalking and personal safety</v>
      </c>
    </row>
    <row r="215" spans="1:3">
      <c r="A215" s="22">
        <v>28900294</v>
      </c>
      <c r="B215" s="23">
        <v>2</v>
      </c>
      <c r="C215" t="str">
        <f>VLOOKUP(B215,Topics[],2,FALSE)</f>
        <v>Computer sabotage</v>
      </c>
    </row>
    <row r="216" spans="1:3">
      <c r="A216" s="22">
        <v>28903757</v>
      </c>
      <c r="B216" s="23">
        <v>6</v>
      </c>
      <c r="C216" t="str">
        <f>VLOOKUP(B216,Topics[],2,FALSE)</f>
        <v>Privacy</v>
      </c>
    </row>
    <row r="217" spans="1:3">
      <c r="A217" s="22">
        <v>28908902</v>
      </c>
      <c r="B217" s="23">
        <v>6</v>
      </c>
      <c r="C217" t="str">
        <f>VLOOKUP(B217,Topics[],2,FALSE)</f>
        <v>Privacy</v>
      </c>
    </row>
    <row r="218" spans="1:3">
      <c r="A218" s="22">
        <v>28910273</v>
      </c>
      <c r="B218" s="23">
        <v>6</v>
      </c>
      <c r="C218" t="str">
        <f>VLOOKUP(B218,Topics[],2,FALSE)</f>
        <v>Privacy</v>
      </c>
    </row>
    <row r="219" spans="1:3">
      <c r="A219" s="22">
        <v>28931696</v>
      </c>
      <c r="B219" s="23">
        <v>1</v>
      </c>
      <c r="C219" t="str">
        <f>VLOOKUP(B219,Topics[],2,FALSE)</f>
        <v>Unauthorised access and use</v>
      </c>
    </row>
    <row r="220" spans="1:3">
      <c r="A220" s="22">
        <v>28934636</v>
      </c>
      <c r="B220" s="23">
        <v>2</v>
      </c>
      <c r="C220" t="str">
        <f>VLOOKUP(B220,Topics[],2,FALSE)</f>
        <v>Computer sabotage</v>
      </c>
    </row>
    <row r="221" spans="1:3">
      <c r="A221" s="22">
        <v>28953355</v>
      </c>
      <c r="B221" s="23">
        <v>5</v>
      </c>
      <c r="C221" t="str">
        <f>VLOOKUP(B221,Topics[],2,FALSE)</f>
        <v>Personal computer security</v>
      </c>
    </row>
    <row r="222" spans="1:3">
      <c r="A222" s="22">
        <v>28955765</v>
      </c>
      <c r="B222" s="23">
        <v>2</v>
      </c>
      <c r="C222" t="str">
        <f>VLOOKUP(B222,Topics[],2,FALSE)</f>
        <v>Computer sabotage</v>
      </c>
    </row>
    <row r="223" spans="1:3">
      <c r="A223" s="22">
        <v>28958446</v>
      </c>
      <c r="B223" s="23">
        <v>3</v>
      </c>
      <c r="C223" t="str">
        <f>VLOOKUP(B223,Topics[],2,FALSE)</f>
        <v>Online theft and fraud</v>
      </c>
    </row>
    <row r="224" spans="1:3">
      <c r="A224" s="22">
        <v>28968697</v>
      </c>
      <c r="B224" s="23">
        <v>4</v>
      </c>
      <c r="C224" t="str">
        <f>VLOOKUP(B224,Topics[],2,FALSE)</f>
        <v>Cyberstalking and personal safety</v>
      </c>
    </row>
    <row r="225" spans="1:3">
      <c r="A225" s="22">
        <v>28972325</v>
      </c>
      <c r="B225" s="23">
        <v>6</v>
      </c>
      <c r="C225" t="str">
        <f>VLOOKUP(B225,Topics[],2,FALSE)</f>
        <v>Privacy</v>
      </c>
    </row>
    <row r="226" spans="1:3">
      <c r="A226" s="22">
        <v>28978439</v>
      </c>
      <c r="B226" s="23">
        <v>3</v>
      </c>
      <c r="C226" t="str">
        <f>VLOOKUP(B226,Topics[],2,FALSE)</f>
        <v>Online theft and fraud</v>
      </c>
    </row>
    <row r="227" spans="1:3">
      <c r="A227" s="22">
        <v>28982657</v>
      </c>
      <c r="B227" s="23">
        <v>2</v>
      </c>
      <c r="C227" t="str">
        <f>VLOOKUP(B227,Topics[],2,FALSE)</f>
        <v>Computer sabotage</v>
      </c>
    </row>
    <row r="228" spans="1:3">
      <c r="A228" s="22">
        <v>28992377</v>
      </c>
      <c r="B228" s="23">
        <v>6</v>
      </c>
      <c r="C228" t="str">
        <f>VLOOKUP(B228,Topics[],2,FALSE)</f>
        <v>Privacy</v>
      </c>
    </row>
    <row r="229" spans="1:3">
      <c r="A229" s="22">
        <v>28996917</v>
      </c>
      <c r="B229" s="23">
        <v>1</v>
      </c>
      <c r="C229" t="str">
        <f>VLOOKUP(B229,Topics[],2,FALSE)</f>
        <v>Unauthorised access and use</v>
      </c>
    </row>
    <row r="230" spans="1:3">
      <c r="A230" s="22">
        <v>29002060</v>
      </c>
      <c r="B230" s="23">
        <v>1</v>
      </c>
      <c r="C230" t="str">
        <f>VLOOKUP(B230,Topics[],2,FALSE)</f>
        <v>Unauthorised access and use</v>
      </c>
    </row>
    <row r="231" spans="1:3">
      <c r="A231" s="22">
        <v>29004160</v>
      </c>
      <c r="B231" s="23">
        <v>1</v>
      </c>
      <c r="C231" t="str">
        <f>VLOOKUP(B231,Topics[],2,FALSE)</f>
        <v>Unauthorised access and use</v>
      </c>
    </row>
    <row r="232" spans="1:3">
      <c r="A232" s="22">
        <v>29004187</v>
      </c>
      <c r="B232" s="23">
        <v>3</v>
      </c>
      <c r="C232" t="str">
        <f>VLOOKUP(B232,Topics[],2,FALSE)</f>
        <v>Online theft and fraud</v>
      </c>
    </row>
    <row r="233" spans="1:3">
      <c r="A233" s="22">
        <v>29015189</v>
      </c>
      <c r="B233" s="23">
        <v>1</v>
      </c>
      <c r="C233" t="str">
        <f>VLOOKUP(B233,Topics[],2,FALSE)</f>
        <v>Unauthorised access and use</v>
      </c>
    </row>
    <row r="234" spans="1:3">
      <c r="A234" s="22">
        <v>29020425</v>
      </c>
      <c r="B234" s="23">
        <v>5</v>
      </c>
      <c r="C234" t="str">
        <f>VLOOKUP(B234,Topics[],2,FALSE)</f>
        <v>Personal computer security</v>
      </c>
    </row>
    <row r="235" spans="1:3">
      <c r="A235" s="22">
        <v>29021979</v>
      </c>
      <c r="B235" s="23">
        <v>1</v>
      </c>
      <c r="C235" t="str">
        <f>VLOOKUP(B235,Topics[],2,FALSE)</f>
        <v>Unauthorised access and use</v>
      </c>
    </row>
    <row r="236" spans="1:3">
      <c r="A236" s="22">
        <v>29034566</v>
      </c>
      <c r="B236" s="23">
        <v>4</v>
      </c>
      <c r="C236" t="str">
        <f>VLOOKUP(B236,Topics[],2,FALSE)</f>
        <v>Cyberstalking and personal safety</v>
      </c>
    </row>
    <row r="237" spans="1:3">
      <c r="A237" s="22">
        <v>29042917</v>
      </c>
      <c r="B237" s="23">
        <v>3</v>
      </c>
      <c r="C237" t="str">
        <f>VLOOKUP(B237,Topics[],2,FALSE)</f>
        <v>Online theft and fraud</v>
      </c>
    </row>
    <row r="238" spans="1:3">
      <c r="A238" s="22">
        <v>29044898</v>
      </c>
      <c r="B238" s="23">
        <v>6</v>
      </c>
      <c r="C238" t="str">
        <f>VLOOKUP(B238,Topics[],2,FALSE)</f>
        <v>Privacy</v>
      </c>
    </row>
    <row r="239" spans="1:3">
      <c r="A239" s="22">
        <v>29045363</v>
      </c>
      <c r="B239" s="23">
        <v>4</v>
      </c>
      <c r="C239" t="str">
        <f>VLOOKUP(B239,Topics[],2,FALSE)</f>
        <v>Cyberstalking and personal safety</v>
      </c>
    </row>
    <row r="240" spans="1:3">
      <c r="A240" s="22">
        <v>29047633</v>
      </c>
      <c r="B240" s="23">
        <v>3</v>
      </c>
      <c r="C240" t="str">
        <f>VLOOKUP(B240,Topics[],2,FALSE)</f>
        <v>Online theft and fraud</v>
      </c>
    </row>
    <row r="241" spans="1:3">
      <c r="A241" s="22">
        <v>29070678</v>
      </c>
      <c r="B241" s="23">
        <v>1</v>
      </c>
      <c r="C241" t="str">
        <f>VLOOKUP(B241,Topics[],2,FALSE)</f>
        <v>Unauthorised access and use</v>
      </c>
    </row>
    <row r="242" spans="1:3">
      <c r="A242" s="22">
        <v>29081637</v>
      </c>
      <c r="B242" s="23">
        <v>3</v>
      </c>
      <c r="C242" t="str">
        <f>VLOOKUP(B242,Topics[],2,FALSE)</f>
        <v>Online theft and fraud</v>
      </c>
    </row>
    <row r="243" spans="1:3">
      <c r="A243" s="22">
        <v>29085578</v>
      </c>
      <c r="B243" s="23">
        <v>4</v>
      </c>
      <c r="C243" t="str">
        <f>VLOOKUP(B243,Topics[],2,FALSE)</f>
        <v>Cyberstalking and personal safety</v>
      </c>
    </row>
    <row r="244" spans="1:3">
      <c r="A244" s="22">
        <v>29090490</v>
      </c>
      <c r="B244" s="23">
        <v>6</v>
      </c>
      <c r="C244" t="str">
        <f>VLOOKUP(B244,Topics[],2,FALSE)</f>
        <v>Privacy</v>
      </c>
    </row>
    <row r="245" spans="1:3">
      <c r="A245" s="22">
        <v>29092272</v>
      </c>
      <c r="B245" s="23">
        <v>3</v>
      </c>
      <c r="C245" t="str">
        <f>VLOOKUP(B245,Topics[],2,FALSE)</f>
        <v>Online theft and fraud</v>
      </c>
    </row>
    <row r="246" spans="1:3">
      <c r="A246" s="22">
        <v>29123933</v>
      </c>
      <c r="B246" s="23">
        <v>3</v>
      </c>
      <c r="C246" t="str">
        <f>VLOOKUP(B246,Topics[],2,FALSE)</f>
        <v>Online theft and fraud</v>
      </c>
    </row>
    <row r="247" spans="1:3">
      <c r="A247" s="22">
        <v>29134897</v>
      </c>
      <c r="B247" s="23">
        <v>2</v>
      </c>
      <c r="C247" t="str">
        <f>VLOOKUP(B247,Topics[],2,FALSE)</f>
        <v>Computer sabotage</v>
      </c>
    </row>
    <row r="248" spans="1:3">
      <c r="A248" s="22">
        <v>29136237</v>
      </c>
      <c r="B248" s="23">
        <v>2</v>
      </c>
      <c r="C248" t="str">
        <f>VLOOKUP(B248,Topics[],2,FALSE)</f>
        <v>Computer sabotage</v>
      </c>
    </row>
    <row r="249" spans="1:3">
      <c r="A249" s="22">
        <v>29140846</v>
      </c>
      <c r="B249" s="23">
        <v>6</v>
      </c>
      <c r="C249" t="str">
        <f>VLOOKUP(B249,Topics[],2,FALSE)</f>
        <v>Privacy</v>
      </c>
    </row>
    <row r="250" spans="1:3">
      <c r="A250" s="22">
        <v>29148766</v>
      </c>
      <c r="B250" s="23">
        <v>4</v>
      </c>
      <c r="C250" t="str">
        <f>VLOOKUP(B250,Topics[],2,FALSE)</f>
        <v>Cyberstalking and personal safety</v>
      </c>
    </row>
    <row r="251" spans="1:3">
      <c r="A251" s="22">
        <v>29158710</v>
      </c>
      <c r="B251" s="23">
        <v>2</v>
      </c>
      <c r="C251" t="str">
        <f>VLOOKUP(B251,Topics[],2,FALSE)</f>
        <v>Computer sabotage</v>
      </c>
    </row>
    <row r="252" spans="1:3">
      <c r="A252" s="22">
        <v>29162572</v>
      </c>
      <c r="B252" s="23">
        <v>1</v>
      </c>
      <c r="C252" t="str">
        <f>VLOOKUP(B252,Topics[],2,FALSE)</f>
        <v>Unauthorised access and use</v>
      </c>
    </row>
    <row r="253" spans="1:3">
      <c r="A253" s="22">
        <v>29176298</v>
      </c>
      <c r="B253" s="23">
        <v>3</v>
      </c>
      <c r="C253" t="str">
        <f>VLOOKUP(B253,Topics[],2,FALSE)</f>
        <v>Online theft and fraud</v>
      </c>
    </row>
    <row r="254" spans="1:3">
      <c r="A254" s="22">
        <v>29195055</v>
      </c>
      <c r="B254" s="23">
        <v>5</v>
      </c>
      <c r="C254" t="str">
        <f>VLOOKUP(B254,Topics[],2,FALSE)</f>
        <v>Personal computer security</v>
      </c>
    </row>
    <row r="255" spans="1:3">
      <c r="A255" s="22">
        <v>29205530</v>
      </c>
      <c r="B255" s="23">
        <v>2</v>
      </c>
      <c r="C255" t="str">
        <f>VLOOKUP(B255,Topics[],2,FALSE)</f>
        <v>Computer sabotage</v>
      </c>
    </row>
    <row r="256" spans="1:3">
      <c r="A256" s="22">
        <v>29220890</v>
      </c>
      <c r="B256" s="23">
        <v>2</v>
      </c>
      <c r="C256" t="str">
        <f>VLOOKUP(B256,Topics[],2,FALSE)</f>
        <v>Computer sabotage</v>
      </c>
    </row>
    <row r="257" spans="1:3">
      <c r="A257" s="22">
        <v>29293812</v>
      </c>
      <c r="B257" s="23">
        <v>3</v>
      </c>
      <c r="C257" t="str">
        <f>VLOOKUP(B257,Topics[],2,FALSE)</f>
        <v>Online theft and fraud</v>
      </c>
    </row>
    <row r="258" spans="1:3">
      <c r="A258" s="22">
        <v>29310520</v>
      </c>
      <c r="B258" s="23">
        <v>1</v>
      </c>
      <c r="C258" t="str">
        <f>VLOOKUP(B258,Topics[],2,FALSE)</f>
        <v>Unauthorised access and use</v>
      </c>
    </row>
    <row r="259" spans="1:3">
      <c r="A259" s="22">
        <v>29317223</v>
      </c>
      <c r="B259" s="23">
        <v>4</v>
      </c>
      <c r="C259" t="str">
        <f>VLOOKUP(B259,Topics[],2,FALSE)</f>
        <v>Cyberstalking and personal safety</v>
      </c>
    </row>
    <row r="260" spans="1:3">
      <c r="A260" s="22">
        <v>29336872</v>
      </c>
      <c r="B260" s="23">
        <v>2</v>
      </c>
      <c r="C260" t="str">
        <f>VLOOKUP(B260,Topics[],2,FALSE)</f>
        <v>Computer sabotage</v>
      </c>
    </row>
    <row r="261" spans="1:3">
      <c r="A261" s="22">
        <v>29375142</v>
      </c>
      <c r="B261" s="23">
        <v>1</v>
      </c>
      <c r="C261" t="str">
        <f>VLOOKUP(B261,Topics[],2,FALSE)</f>
        <v>Unauthorised access and use</v>
      </c>
    </row>
    <row r="262" spans="1:3">
      <c r="A262" s="22">
        <v>29400295</v>
      </c>
      <c r="B262" s="23">
        <v>6</v>
      </c>
      <c r="C262" t="str">
        <f>VLOOKUP(B262,Topics[],2,FALSE)</f>
        <v>Privacy</v>
      </c>
    </row>
    <row r="263" spans="1:3">
      <c r="A263" s="22">
        <v>29404169</v>
      </c>
      <c r="B263" s="23">
        <v>5</v>
      </c>
      <c r="C263" t="str">
        <f>VLOOKUP(B263,Topics[],2,FALSE)</f>
        <v>Personal computer security</v>
      </c>
    </row>
    <row r="264" spans="1:3">
      <c r="A264" s="22">
        <v>29413869</v>
      </c>
      <c r="B264" s="23">
        <v>6</v>
      </c>
      <c r="C264" t="str">
        <f>VLOOKUP(B264,Topics[],2,FALSE)</f>
        <v>Privacy</v>
      </c>
    </row>
    <row r="265" spans="1:3">
      <c r="A265" s="22">
        <v>29427258</v>
      </c>
      <c r="B265" s="23">
        <v>3</v>
      </c>
      <c r="C265" t="str">
        <f>VLOOKUP(B265,Topics[],2,FALSE)</f>
        <v>Online theft and fraud</v>
      </c>
    </row>
    <row r="266" spans="1:3">
      <c r="A266" s="22">
        <v>29440157</v>
      </c>
      <c r="B266" s="23">
        <v>2</v>
      </c>
      <c r="C266" t="str">
        <f>VLOOKUP(B266,Topics[],2,FALSE)</f>
        <v>Computer sabotage</v>
      </c>
    </row>
    <row r="267" spans="1:3">
      <c r="A267" s="22">
        <v>29446287</v>
      </c>
      <c r="B267" s="23">
        <v>5</v>
      </c>
      <c r="C267" t="str">
        <f>VLOOKUP(B267,Topics[],2,FALSE)</f>
        <v>Personal computer security</v>
      </c>
    </row>
    <row r="268" spans="1:3">
      <c r="A268" s="22">
        <v>29469473</v>
      </c>
      <c r="B268" s="23">
        <v>5</v>
      </c>
      <c r="C268" t="str">
        <f>VLOOKUP(B268,Topics[],2,FALSE)</f>
        <v>Personal computer security</v>
      </c>
    </row>
    <row r="269" spans="1:3">
      <c r="A269" s="22">
        <v>29497108</v>
      </c>
      <c r="B269" s="23">
        <v>2</v>
      </c>
      <c r="C269" t="str">
        <f>VLOOKUP(B269,Topics[],2,FALSE)</f>
        <v>Computer sabotage</v>
      </c>
    </row>
    <row r="270" spans="1:3">
      <c r="A270" s="22">
        <v>29497469</v>
      </c>
      <c r="B270" s="23">
        <v>4</v>
      </c>
      <c r="C270" t="str">
        <f>VLOOKUP(B270,Topics[],2,FALSE)</f>
        <v>Cyberstalking and personal safety</v>
      </c>
    </row>
    <row r="271" spans="1:3">
      <c r="A271" s="22">
        <v>29541018</v>
      </c>
      <c r="B271" s="23">
        <v>4</v>
      </c>
      <c r="C271" t="str">
        <f>VLOOKUP(B271,Topics[],2,FALSE)</f>
        <v>Cyberstalking and personal safety</v>
      </c>
    </row>
    <row r="272" spans="1:3">
      <c r="A272" s="22">
        <v>29550335</v>
      </c>
      <c r="B272" s="23">
        <v>3</v>
      </c>
      <c r="C272" t="str">
        <f>VLOOKUP(B272,Topics[],2,FALSE)</f>
        <v>Online theft and fraud</v>
      </c>
    </row>
    <row r="273" spans="1:3">
      <c r="A273" s="22">
        <v>29554535</v>
      </c>
      <c r="B273" s="23">
        <v>1</v>
      </c>
      <c r="C273" t="str">
        <f>VLOOKUP(B273,Topics[],2,FALSE)</f>
        <v>Unauthorised access and use</v>
      </c>
    </row>
    <row r="274" spans="1:3">
      <c r="A274" s="22">
        <v>29556309</v>
      </c>
      <c r="B274" s="23">
        <v>4</v>
      </c>
      <c r="C274" t="str">
        <f>VLOOKUP(B274,Topics[],2,FALSE)</f>
        <v>Cyberstalking and personal safety</v>
      </c>
    </row>
    <row r="275" spans="1:3">
      <c r="A275" s="22">
        <v>29567793</v>
      </c>
      <c r="B275" s="23">
        <v>2</v>
      </c>
      <c r="C275" t="str">
        <f>VLOOKUP(B275,Topics[],2,FALSE)</f>
        <v>Computer sabotage</v>
      </c>
    </row>
    <row r="276" spans="1:3">
      <c r="A276" s="22">
        <v>29574196</v>
      </c>
      <c r="B276" s="23">
        <v>1</v>
      </c>
      <c r="C276" t="str">
        <f>VLOOKUP(B276,Topics[],2,FALSE)</f>
        <v>Unauthorised access and use</v>
      </c>
    </row>
    <row r="277" spans="1:3">
      <c r="A277" s="22">
        <v>29578949</v>
      </c>
      <c r="B277" s="23">
        <v>1</v>
      </c>
      <c r="C277" t="str">
        <f>VLOOKUP(B277,Topics[],2,FALSE)</f>
        <v>Unauthorised access and use</v>
      </c>
    </row>
    <row r="278" spans="1:3">
      <c r="A278" s="22">
        <v>29585228</v>
      </c>
      <c r="B278" s="23">
        <v>3</v>
      </c>
      <c r="C278" t="str">
        <f>VLOOKUP(B278,Topics[],2,FALSE)</f>
        <v>Online theft and fraud</v>
      </c>
    </row>
    <row r="279" spans="1:3">
      <c r="A279" s="22">
        <v>29628059</v>
      </c>
      <c r="B279" s="23">
        <v>5</v>
      </c>
      <c r="C279" t="str">
        <f>VLOOKUP(B279,Topics[],2,FALSE)</f>
        <v>Personal computer security</v>
      </c>
    </row>
    <row r="280" spans="1:3">
      <c r="A280" s="22">
        <v>29685532</v>
      </c>
      <c r="B280" s="23">
        <v>2</v>
      </c>
      <c r="C280" t="str">
        <f>VLOOKUP(B280,Topics[],2,FALSE)</f>
        <v>Computer sabotage</v>
      </c>
    </row>
    <row r="281" spans="1:3">
      <c r="A281" s="22">
        <v>29687292</v>
      </c>
      <c r="B281" s="23">
        <v>1</v>
      </c>
      <c r="C281" t="str">
        <f>VLOOKUP(B281,Topics[],2,FALSE)</f>
        <v>Unauthorised access and use</v>
      </c>
    </row>
    <row r="282" spans="1:3">
      <c r="A282" s="22">
        <v>29706343</v>
      </c>
      <c r="B282" s="23">
        <v>4</v>
      </c>
      <c r="C282" t="str">
        <f>VLOOKUP(B282,Topics[],2,FALSE)</f>
        <v>Cyberstalking and personal safety</v>
      </c>
    </row>
    <row r="283" spans="1:3">
      <c r="A283" s="22">
        <v>29721997</v>
      </c>
      <c r="B283" s="23">
        <v>5</v>
      </c>
      <c r="C283" t="str">
        <f>VLOOKUP(B283,Topics[],2,FALSE)</f>
        <v>Personal computer security</v>
      </c>
    </row>
    <row r="284" spans="1:3">
      <c r="A284" s="22">
        <v>29901766</v>
      </c>
      <c r="B284" s="23">
        <v>3</v>
      </c>
      <c r="C284" t="str">
        <f>VLOOKUP(B284,Topics[],2,FALSE)</f>
        <v>Online theft and fraud</v>
      </c>
    </row>
    <row r="285" spans="1:3">
      <c r="A285" s="22">
        <v>29908507</v>
      </c>
      <c r="B285" s="23">
        <v>6</v>
      </c>
      <c r="C285" t="str">
        <f>VLOOKUP(B285,Topics[],2,FALSE)</f>
        <v>Privacy</v>
      </c>
    </row>
  </sheetData>
  <sortState ref="A2:C249">
    <sortCondition ref="A2:A249"/>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Topics</vt:lpstr>
      <vt:lpstr>Topic Asssignments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campher</dc:creator>
  <cp:lastModifiedBy>Henri Van Rensburg</cp:lastModifiedBy>
  <dcterms:created xsi:type="dcterms:W3CDTF">2017-03-28T09:51:55Z</dcterms:created>
  <dcterms:modified xsi:type="dcterms:W3CDTF">2017-04-03T13:54:00Z</dcterms:modified>
</cp:coreProperties>
</file>