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730" windowHeight="11760"/>
  </bookViews>
  <sheets>
    <sheet name="1.Privacy" sheetId="1" r:id="rId1"/>
    <sheet name="2.Spam" sheetId="2" r:id="rId2"/>
    <sheet name="3.Information privacy" sheetId="3" r:id="rId3"/>
    <sheet name="4.Cookies" sheetId="4" r:id="rId4"/>
    <sheet name="5.Privacy policy" sheetId="5" r:id="rId5"/>
  </sheets>
  <definedNames>
    <definedName name="_xlchart.v1.0" hidden="1">'4.Cookies'!$E$9:$E$11</definedName>
    <definedName name="_xlchart.v1.1" hidden="1">'4.Cookies'!$F$9:$F$11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4" l="1"/>
  <c r="G10" i="4"/>
  <c r="G11" i="4"/>
  <c r="F9" i="4" l="1"/>
  <c r="F10" i="4"/>
  <c r="F11" i="4"/>
  <c r="F9" i="5" l="1"/>
  <c r="G9" i="5" s="1"/>
  <c r="F10" i="5"/>
  <c r="G10" i="5" s="1"/>
  <c r="F11" i="5"/>
  <c r="G11" i="5" s="1"/>
  <c r="F9" i="3"/>
  <c r="G9" i="3" s="1"/>
  <c r="F10" i="3"/>
  <c r="G10" i="3" s="1"/>
  <c r="F11" i="3"/>
  <c r="G11" i="3" s="1"/>
  <c r="F12" i="3"/>
  <c r="G12" i="3" s="1"/>
  <c r="F9" i="2"/>
  <c r="G9" i="2" s="1"/>
  <c r="F10" i="2"/>
  <c r="G10" i="2" s="1"/>
  <c r="F11" i="2"/>
  <c r="G11" i="2" s="1"/>
  <c r="F9" i="1" l="1"/>
  <c r="G9" i="1" s="1"/>
  <c r="F10" i="1"/>
  <c r="G10" i="1" s="1"/>
  <c r="F11" i="1"/>
  <c r="G11" i="1" s="1"/>
</calcChain>
</file>

<file path=xl/sharedStrings.xml><?xml version="1.0" encoding="utf-8"?>
<sst xmlns="http://schemas.openxmlformats.org/spreadsheetml/2006/main" count="299" uniqueCount="78">
  <si>
    <t>PRIVACY</t>
  </si>
  <si>
    <t>Hypothesis</t>
  </si>
  <si>
    <t>Question 1:Is privacy important?</t>
  </si>
  <si>
    <t>Responded</t>
  </si>
  <si>
    <t>Name</t>
  </si>
  <si>
    <t>Privacy</t>
  </si>
  <si>
    <t>Votes</t>
  </si>
  <si>
    <t>Percentages</t>
  </si>
  <si>
    <t>Yes</t>
  </si>
  <si>
    <t>No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</si>
  <si>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</si>
  <si>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</si>
  <si>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</si>
  <si>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</si>
  <si>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</si>
  <si>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</si>
  <si>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</si>
  <si>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</si>
  <si>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</si>
  <si>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</si>
  <si>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</si>
  <si>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</si>
  <si>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</si>
  <si>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</si>
  <si>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</si>
  <si>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</si>
  <si>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</si>
  <si>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</si>
  <si>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</si>
  <si>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</si>
  <si>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They are many people who said privacy is important.</t>
  </si>
  <si>
    <t>Spam</t>
  </si>
  <si>
    <t xml:space="preserve">Spam </t>
  </si>
  <si>
    <t>Percentage</t>
  </si>
  <si>
    <t>Column chart</t>
  </si>
  <si>
    <t>Sometimes</t>
  </si>
  <si>
    <t>Question 2:Does people get irrelevant messages sent over the internet?</t>
  </si>
  <si>
    <t>Pyramid Chart</t>
  </si>
  <si>
    <t>Cylinder Chart</t>
  </si>
  <si>
    <t>Information privacy</t>
  </si>
  <si>
    <t>Cookies</t>
  </si>
  <si>
    <t>Privacy  policy</t>
  </si>
  <si>
    <t>Question 3:Is people personal information on the internat protected ?</t>
  </si>
  <si>
    <t>Not often</t>
  </si>
  <si>
    <t>Personal information is not protected on the internet</t>
  </si>
  <si>
    <t>Stacket line with marker chart</t>
  </si>
  <si>
    <t>Pie Chart</t>
  </si>
  <si>
    <t>3-D Cylinder Chart</t>
  </si>
  <si>
    <t>Findings</t>
  </si>
  <si>
    <t>Many companies use privacy policy</t>
  </si>
  <si>
    <t>Privacy policy</t>
  </si>
  <si>
    <t>Cone Chart</t>
  </si>
  <si>
    <t>Area Chart</t>
  </si>
  <si>
    <t>Question 4: Are cookies important ?</t>
  </si>
  <si>
    <t>Findings:</t>
  </si>
  <si>
    <t>Scatter Chart</t>
  </si>
  <si>
    <t xml:space="preserve">20 People voted on what they think about privacy,some said yes it is important ,others said no and others said sometimes .13 people said yes it is important ,5 </t>
  </si>
  <si>
    <t>said no privacy is not important and other 4 said that sometimes is important.</t>
  </si>
  <si>
    <t>Hypothesis is right because many people said yes privacy is important.</t>
  </si>
  <si>
    <t>High percentange of people voted yes that privacy is important with 55%,other said not at 25% and the remaining one said sometimes at 20%.</t>
  </si>
  <si>
    <t>20 People voted on what they think about cookies,some said yes it is important ,others said no and others said sometimes .14 people said yes it is important ,1</t>
  </si>
  <si>
    <t>said no cookies are not important and other 5 said that sometimes they are important.</t>
  </si>
  <si>
    <t>Most of the people will say cookies are not important.</t>
  </si>
  <si>
    <t>Question 5:Is privacy policy used appropriate by the companies?</t>
  </si>
  <si>
    <t>People voted on whether the companies uses privacy policy appropriate or not,13 said yes ,2 said no and the other 5said sometimes.</t>
  </si>
  <si>
    <t>The hypothesis was right because the percentage of peope voted yes is high compare to other percentages.</t>
  </si>
  <si>
    <t>The percentage of people voted yes is (65%),those who said no is (10%) and the other one said sometimes their percentage is(25%).</t>
  </si>
  <si>
    <t>Most of the people get spams on their phone.</t>
  </si>
  <si>
    <t>Sunburst</t>
  </si>
  <si>
    <t>Hypothesis was right because many people said yes cookies are important.</t>
  </si>
  <si>
    <t>High percentage of people voted yes that cookies are important with 70%,the other one said no at 5% and the remaining one said sometimes at 25%.</t>
  </si>
  <si>
    <t xml:space="preserve">They are 20 people who voted on whether the personal information is protected in the internet or not,2 said yes ,8 said no,6 said sometimes while 4 said </t>
  </si>
  <si>
    <t>said not often is personal information protected in the internet .</t>
  </si>
  <si>
    <t>Hypothesis was right that personal information is not protected on the internet because many people on no.</t>
  </si>
  <si>
    <t>The percentage of people voted yes is 10% ,people voted no is 40%,people said sometimes is 30% and those who said not often is 20%</t>
  </si>
  <si>
    <t>They are 20 people who voted that they get irrelevant messages over the internet,5 of them said yes ,while 10 said no  and the last 5 people said they sometimes get  the spam messages on the internet</t>
  </si>
  <si>
    <t>The hypothesis was wrong because most people voted that they don’t get irrelevant messages on the internent .</t>
  </si>
  <si>
    <t>The percentage of people voted yes is 25% ,people voted no is 50% and for people voted for sometimes is 25%.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</si>
</sst>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4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0" borderId="0" xfId="0" applyFont="1" applyAlignment="1"/>
    <xf numFmtId="0" fontId="4" fillId="0" borderId="1" xfId="0" applyFont="1" applyBorder="1"/>
    <xf numFmtId="0" fontId="2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7" fillId="0" borderId="0" xfId="0" applyFont="1"/>
    <xf numFmtId="0" fontId="8" fillId="0" borderId="0" xfId="0" applyFont="1"/>
    <xf numFmtId="0" fontId="0" fillId="0" borderId="1" xfId="0" applyNumberFormat="1" applyBorder="1"/>
    <xf numFmtId="0" fontId="10" fillId="0" borderId="1" xfId="0" applyFont="1" applyBorder="1"/>
    <xf numFmtId="0" fontId="11" fillId="0" borderId="0" xfId="0" applyFont="1"/>
    <xf numFmtId="9" fontId="0" fillId="0" borderId="0" xfId="1" applyFont="1"/>
    <xf numFmtId="9" fontId="0" fillId="0" borderId="1" xfId="1" applyFont="1" applyBorder="1"/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45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Number</a:t>
            </a:r>
            <a:r>
              <a:rPr lang="en-US" b="1" baseline="0"/>
              <a:t> of people voted</a:t>
            </a:r>
            <a:endParaRPr lang="en-US" b="1"/>
          </a:p>
        </c:rich>
      </c:tx>
      <c:layout>
        <c:manualLayout>
          <c:xMode val="edge"/>
          <c:yMode val="edge"/>
          <c:x val="0.2977707786526684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'1.Privacy'!$E$9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'1.Privacy'!$F$9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0-445C-9F89-52AFFEFA3662}"/>
            </c:ext>
          </c:extLst>
        </c:ser>
        <c:ser>
          <c:idx val="1"/>
          <c:order val="1"/>
          <c:tx>
            <c:strRef>
              <c:f>'1.Privacy'!$E$10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'1.Privacy'!$F$10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0-445C-9F89-52AFFEFA3662}"/>
            </c:ext>
          </c:extLst>
        </c:ser>
        <c:ser>
          <c:idx val="2"/>
          <c:order val="2"/>
          <c:tx>
            <c:strRef>
              <c:f>'1.Privacy'!$E$11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'1.Privacy'!$F$11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30-445C-9F89-52AFFEFA3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79360"/>
        <c:axId val="46168704"/>
      </c:barChart>
      <c:catAx>
        <c:axId val="4607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8704"/>
        <c:crosses val="autoZero"/>
        <c:auto val="1"/>
        <c:lblAlgn val="ctr"/>
        <c:lblOffset val="100"/>
        <c:noMultiLvlLbl val="0"/>
      </c:catAx>
      <c:valAx>
        <c:axId val="461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people voted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EF4-46BD-B0FB-68A1414604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EF4-46BD-B0FB-68A1414604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EF4-46BD-B0FB-68A1414604C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'1.Privacy'!$E$9:$E$11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Sometimes</c:v>
                </c:pt>
              </c:strCache>
            </c:strRef>
          </c:cat>
          <c:val>
            <c:numRef>
              <c:f>'1.Privacy'!$G$9:$G$11</c:f>
              <c:numCache>
                <c:formatCode>General</c:formatCode>
                <c:ptCount val="3"/>
                <c:pt idx="0">
                  <c:v>55.000000000000007</c:v>
                </c:pt>
                <c:pt idx="1">
                  <c:v>25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3-473E-B781-5DE4736E1BE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Number of people</a:t>
            </a:r>
            <a:r>
              <a:rPr lang="en-US" baseline="0"/>
              <a:t> who v</a:t>
            </a:r>
            <a:r>
              <a:rPr lang="en-US"/>
              <a:t>oted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557961504811913E-2"/>
          <c:y val="0.18091462525517643"/>
          <c:w val="0.83855314960629923"/>
          <c:h val="0.59104512977544477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'2.Spam'!$E$9:$E$11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Sometimes</c:v>
                </c:pt>
              </c:strCache>
            </c:strRef>
          </c:cat>
          <c:val>
            <c:numRef>
              <c:f>'2.Spam'!$F$9:$F$11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1-4A6C-8BC1-F4139F5AB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gapDepth val="0"/>
        <c:shape val="pyramid"/>
        <c:axId val="95118464"/>
        <c:axId val="95120384"/>
        <c:axId val="0"/>
      </c:bar3DChart>
      <c:catAx>
        <c:axId val="9511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Votes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95120384"/>
        <c:crosses val="autoZero"/>
        <c:auto val="1"/>
        <c:lblAlgn val="ctr"/>
        <c:lblOffset val="100"/>
        <c:noMultiLvlLbl val="0"/>
      </c:catAx>
      <c:valAx>
        <c:axId val="95120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people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118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</a:t>
            </a:r>
            <a:r>
              <a:rPr lang="en-US" baseline="0"/>
              <a:t> opeople voted</a:t>
            </a:r>
            <a:endParaRPr 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invertIfNegative val="0"/>
          <c:cat>
            <c:strRef>
              <c:f>'2.Spam'!$E$9:$E$11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Sometimes</c:v>
                </c:pt>
              </c:strCache>
            </c:strRef>
          </c:cat>
          <c:val>
            <c:numRef>
              <c:f>'2.Spam'!$G$9:$G$11</c:f>
              <c:numCache>
                <c:formatCode>0%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8-431B-8764-F5BBDABDA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48399616"/>
        <c:axId val="148401152"/>
        <c:axId val="0"/>
      </c:bar3DChart>
      <c:catAx>
        <c:axId val="14839961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148401152"/>
        <c:crosses val="autoZero"/>
        <c:auto val="1"/>
        <c:lblAlgn val="ctr"/>
        <c:lblOffset val="100"/>
        <c:noMultiLvlLbl val="0"/>
      </c:catAx>
      <c:valAx>
        <c:axId val="148401152"/>
        <c:scaling>
          <c:orientation val="minMax"/>
        </c:scaling>
        <c:delete val="0"/>
        <c:axPos val="b"/>
        <c:majorGridlines/>
        <c:numFmt formatCode="0%" sourceLinked="1"/>
        <c:majorTickMark val="none"/>
        <c:minorTickMark val="none"/>
        <c:tickLblPos val="nextTo"/>
        <c:crossAx val="148399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Number of people </a:t>
            </a:r>
            <a:r>
              <a:rPr lang="en-US"/>
              <a:t>Voted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cat>
            <c:strRef>
              <c:f>'3.Information privacy'!$E$9:$E$12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Sometimes</c:v>
                </c:pt>
                <c:pt idx="3">
                  <c:v>Not often</c:v>
                </c:pt>
              </c:strCache>
            </c:strRef>
          </c:cat>
          <c:val>
            <c:numRef>
              <c:f>'3.Information privacy'!$F$9:$F$12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C-498F-AE5F-76B669BE6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83872"/>
        <c:axId val="46385408"/>
      </c:lineChart>
      <c:catAx>
        <c:axId val="46383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6385408"/>
        <c:crosses val="autoZero"/>
        <c:auto val="1"/>
        <c:lblAlgn val="ctr"/>
        <c:lblOffset val="100"/>
        <c:noMultiLvlLbl val="0"/>
      </c:catAx>
      <c:valAx>
        <c:axId val="46385408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4638387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Percentages</a:t>
            </a:r>
            <a:r>
              <a:rPr lang="en-US" baseline="0"/>
              <a:t> of people voted</a:t>
            </a:r>
            <a:endParaRPr lang="en-US"/>
          </a:p>
        </c:rich>
      </c:tx>
      <c:layout>
        <c:manualLayout>
          <c:xMode val="edge"/>
          <c:yMode val="edge"/>
          <c:x val="0.1835693350831146"/>
          <c:y val="3.7037037037037035E-2"/>
        </c:manualLayout>
      </c:layout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543963254593173E-2"/>
          <c:y val="0.19480351414406533"/>
          <c:w val="0.75220691163604547"/>
          <c:h val="0.68921660834062404"/>
        </c:manualLayout>
      </c:layout>
      <c:bar3DChart>
        <c:barDir val="col"/>
        <c:grouping val="standard"/>
        <c:varyColors val="0"/>
        <c:ser>
          <c:idx val="0"/>
          <c:order val="0"/>
          <c:invertIfNegative val="0"/>
          <c:cat>
            <c:strRef>
              <c:f>'3.Information privacy'!$E$9:$E$12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Sometimes</c:v>
                </c:pt>
                <c:pt idx="3">
                  <c:v>Not often</c:v>
                </c:pt>
              </c:strCache>
            </c:strRef>
          </c:cat>
          <c:val>
            <c:numRef>
              <c:f>'3.Information privacy'!$G$9:$G$12</c:f>
              <c:numCache>
                <c:formatCode>0%</c:formatCode>
                <c:ptCount val="4"/>
                <c:pt idx="0">
                  <c:v>0.1</c:v>
                </c:pt>
                <c:pt idx="1">
                  <c:v>0.4</c:v>
                </c:pt>
                <c:pt idx="2">
                  <c:v>0.3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1-4BB7-8A95-27E0FADEA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46394752"/>
        <c:axId val="46396544"/>
        <c:axId val="45780480"/>
      </c:bar3DChart>
      <c:catAx>
        <c:axId val="46394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6396544"/>
        <c:crosses val="autoZero"/>
        <c:auto val="1"/>
        <c:lblAlgn val="ctr"/>
        <c:lblOffset val="100"/>
        <c:noMultiLvlLbl val="0"/>
      </c:catAx>
      <c:valAx>
        <c:axId val="46396544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46394752"/>
        <c:crosses val="autoZero"/>
        <c:crossBetween val="between"/>
      </c:valAx>
      <c:serAx>
        <c:axId val="45780480"/>
        <c:scaling>
          <c:orientation val="minMax"/>
        </c:scaling>
        <c:delete val="1"/>
        <c:axPos val="b"/>
        <c:majorTickMark val="out"/>
        <c:minorTickMark val="none"/>
        <c:tickLblPos val="nextTo"/>
        <c:crossAx val="46396544"/>
        <c:crosses val="autoZero"/>
      </c:ser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Percentage of</a:t>
            </a:r>
            <a:r>
              <a:rPr lang="en-US" b="1" baseline="0"/>
              <a:t> people voted </a:t>
            </a:r>
            <a:endParaRPr lang="en-US" b="1"/>
          </a:p>
        </c:rich>
      </c:tx>
      <c:layout>
        <c:manualLayout>
          <c:xMode val="edge"/>
          <c:yMode val="edge"/>
          <c:x val="0.242729002624671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gradFill>
              <a:gsLst>
                <a:gs pos="0">
                  <a:schemeClr val="accent1">
                    <a:alpha val="75000"/>
                  </a:schemeClr>
                </a:gs>
                <a:gs pos="100000">
                  <a:schemeClr val="accent1">
                    <a:lumMod val="75000"/>
                    <a:alpha val="75000"/>
                  </a:schemeClr>
                </a:gs>
              </a:gsLst>
              <a:lin ang="27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'4.Cookies'!$E$9:$E$11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Sometimes</c:v>
                </c:pt>
              </c:strCache>
            </c:strRef>
          </c:xVal>
          <c:yVal>
            <c:numRef>
              <c:f>'4.Cookies'!$G$9:$G$11</c:f>
              <c:numCache>
                <c:formatCode>0%</c:formatCode>
                <c:ptCount val="3"/>
                <c:pt idx="0">
                  <c:v>0.7</c:v>
                </c:pt>
                <c:pt idx="1">
                  <c:v>0.05</c:v>
                </c:pt>
                <c:pt idx="2">
                  <c:v>0.25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C084-467C-95FA-C137592C4F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63008768"/>
        <c:axId val="63011456"/>
      </c:bubbleChart>
      <c:valAx>
        <c:axId val="6300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solidFill>
              <a:schemeClr val="dk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1456"/>
        <c:crosses val="autoZero"/>
        <c:crossBetween val="midCat"/>
      </c:valAx>
      <c:valAx>
        <c:axId val="6301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dk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876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Number</a:t>
            </a:r>
            <a:r>
              <a:rPr lang="en-US" baseline="0"/>
              <a:t> of votes for privacy policy</a:t>
            </a:r>
            <a:endParaRPr 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'5.Privacy policy'!$E$9:$E$11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Sometimes</c:v>
                </c:pt>
              </c:strCache>
            </c:strRef>
          </c:cat>
          <c:val>
            <c:numRef>
              <c:f>'5.Privacy policy'!$F$9:$F$11</c:f>
              <c:numCache>
                <c:formatCode>General</c:formatCode>
                <c:ptCount val="3"/>
                <c:pt idx="0">
                  <c:v>13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6-4F9F-91AE-78913B56E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69518464"/>
        <c:axId val="69520000"/>
        <c:axId val="0"/>
      </c:bar3DChart>
      <c:catAx>
        <c:axId val="695184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9520000"/>
        <c:crosses val="autoZero"/>
        <c:auto val="1"/>
        <c:lblAlgn val="ctr"/>
        <c:lblOffset val="100"/>
        <c:noMultiLvlLbl val="0"/>
      </c:catAx>
      <c:valAx>
        <c:axId val="695200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6951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Percentages of people</a:t>
            </a:r>
            <a:r>
              <a:rPr lang="en-US" baseline="0"/>
              <a:t> voted</a:t>
            </a:r>
            <a:endParaRPr lang="en-US"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area3DChart>
        <c:grouping val="standard"/>
        <c:varyColors val="0"/>
        <c:ser>
          <c:idx val="0"/>
          <c:order val="0"/>
          <c:cat>
            <c:strRef>
              <c:f>'5.Privacy policy'!$E$9:$E$11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Sometimes</c:v>
                </c:pt>
              </c:strCache>
            </c:strRef>
          </c:cat>
          <c:val>
            <c:numRef>
              <c:f>'5.Privacy policy'!$G$9:$G$11</c:f>
              <c:numCache>
                <c:formatCode>General</c:formatCode>
                <c:ptCount val="3"/>
                <c:pt idx="0">
                  <c:v>65</c:v>
                </c:pt>
                <c:pt idx="1">
                  <c:v>10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5-41BC-BA69-72E200443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41248"/>
        <c:axId val="69547136"/>
        <c:axId val="45778688"/>
      </c:area3DChart>
      <c:catAx>
        <c:axId val="69541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9547136"/>
        <c:crosses val="autoZero"/>
        <c:auto val="1"/>
        <c:lblAlgn val="ctr"/>
        <c:lblOffset val="100"/>
        <c:noMultiLvlLbl val="0"/>
      </c:catAx>
      <c:valAx>
        <c:axId val="69547136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69541248"/>
        <c:crosses val="autoZero"/>
        <c:crossBetween val="midCat"/>
      </c:valAx>
      <c:serAx>
        <c:axId val="45778688"/>
        <c:scaling>
          <c:orientation val="minMax"/>
        </c:scaling>
        <c:delete val="1"/>
        <c:axPos val="b"/>
        <c:majorTickMark val="out"/>
        <c:minorTickMark val="none"/>
        <c:tickLblPos val="nextTo"/>
        <c:crossAx val="69547136"/>
        <c:crosses val="autoZero"/>
      </c:ser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Number of people voted on cookies</a:t>
            </a:r>
          </a:p>
        </cx:rich>
      </cx:tx>
    </cx:title>
    <cx:plotArea>
      <cx:plotAreaRegion>
        <cx:series layoutId="sunburst" uniqueId="{6FE54DF0-575D-4195-84AF-8CDE6F3BD50D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3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>
        <a:solidFill>
          <a:schemeClr val="dk1">
            <a:lumMod val="25000"/>
            <a:lumOff val="75000"/>
          </a:schemeClr>
        </a:solidFill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0">
            <a:schemeClr val="phClr">
              <a:alpha val="75000"/>
            </a:schemeClr>
          </a:gs>
          <a:gs pos="100000">
            <a:schemeClr val="phClr">
              <a:lumMod val="75000"/>
              <a:alpha val="75000"/>
            </a:schemeClr>
          </a:gs>
        </a:gsLst>
        <a:lin ang="27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0">
            <a:schemeClr val="phClr">
              <a:alpha val="75000"/>
            </a:schemeClr>
          </a:gs>
          <a:gs pos="100000">
            <a:schemeClr val="phClr">
              <a:lumMod val="75000"/>
              <a:alpha val="75000"/>
            </a:schemeClr>
          </a:gs>
        </a:gsLst>
        <a:lin ang="2700000" scaled="1"/>
      </a:gra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50000"/>
        <a:lumOff val="50000"/>
      </a:schemeClr>
    </cs:fontRef>
    <cs:spPr>
      <a:ln>
        <a:solidFill>
          <a:schemeClr val="dk1">
            <a:lumMod val="25000"/>
            <a:lumOff val="7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>
        <a:solidFill>
          <a:schemeClr val="dk1">
            <a:lumMod val="25000"/>
            <a:lumOff val="75000"/>
          </a:schemeClr>
        </a:solidFill>
      </a:ln>
    </cs:spPr>
    <cs:defRPr sz="900" kern="1200"/>
    <cs:bodyPr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13</xdr:row>
      <xdr:rowOff>28575</xdr:rowOff>
    </xdr:from>
    <xdr:to>
      <xdr:col>10</xdr:col>
      <xdr:colOff>123825</xdr:colOff>
      <xdr:row>24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228600</xdr:colOff>
      <xdr:row>13</xdr:row>
      <xdr:rowOff>33337</xdr:rowOff>
    </xdr:from>
    <xdr:to>
      <xdr:col>17</xdr:col>
      <xdr:colOff>533400</xdr:colOff>
      <xdr:row>24</xdr:row>
      <xdr:rowOff>157162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13</xdr:row>
      <xdr:rowOff>47625</xdr:rowOff>
    </xdr:from>
    <xdr:to>
      <xdr:col>10</xdr:col>
      <xdr:colOff>76200</xdr:colOff>
      <xdr:row>25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13</xdr:row>
      <xdr:rowOff>28574</xdr:rowOff>
    </xdr:from>
    <xdr:to>
      <xdr:col>17</xdr:col>
      <xdr:colOff>466725</xdr:colOff>
      <xdr:row>25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14</xdr:row>
      <xdr:rowOff>38100</xdr:rowOff>
    </xdr:from>
    <xdr:to>
      <xdr:col>10</xdr:col>
      <xdr:colOff>247650</xdr:colOff>
      <xdr:row>25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504825</xdr:colOff>
      <xdr:row>14</xdr:row>
      <xdr:rowOff>38100</xdr:rowOff>
    </xdr:from>
    <xdr:to>
      <xdr:col>18</xdr:col>
      <xdr:colOff>200025</xdr:colOff>
      <xdr:row>25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28575</xdr:rowOff>
    </xdr:from>
    <xdr:to>
      <xdr:col>18</xdr:col>
      <xdr:colOff>304800</xdr:colOff>
      <xdr:row>24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295275</xdr:colOff>
      <xdr:row>13</xdr:row>
      <xdr:rowOff>33337</xdr:rowOff>
    </xdr:from>
    <xdr:to>
      <xdr:col>10</xdr:col>
      <xdr:colOff>361950</xdr:colOff>
      <xdr:row>24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13</xdr:row>
      <xdr:rowOff>19050</xdr:rowOff>
    </xdr:from>
    <xdr:to>
      <xdr:col>10</xdr:col>
      <xdr:colOff>476250</xdr:colOff>
      <xdr:row>24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542925</xdr:colOff>
      <xdr:row>13</xdr:row>
      <xdr:rowOff>0</xdr:rowOff>
    </xdr:from>
    <xdr:to>
      <xdr:col>18</xdr:col>
      <xdr:colOff>238125</xdr:colOff>
      <xdr:row>24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4" displayName="Table4" ref="A8:C28" totalsRowShown="0" headerRowDxfId="44" dataDxfId="43">
  <autoFilter ref="A8:C28"/>
  <tableColumns count="3">
    <tableColumn id="1" name="Responded" dataDxfId="42"/>
    <tableColumn id="2" name="Name" dataDxfId="41"/>
    <tableColumn id="3" name="Privacy" dataDxfId="4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8" name="Table8" displayName="Table8" ref="E8:G11" totalsRowShown="0" dataDxfId="39">
  <tableColumns count="3">
    <tableColumn id="1" name="Privacy" dataDxfId="38"/>
    <tableColumn id="2" name="Votes" dataDxfId="37">
      <calculatedColumnFormula>COUNTIF(Table4[Privacy],Table8[[#This Row],[Privacy]])</calculatedColumnFormula>
    </tableColumn>
    <tableColumn id="3" name="Percentages" dataDxfId="36">
      <calculatedColumnFormula>Table8[[#This Row],[Votes]]/20*100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8:C28" totalsRowShown="0" headerRowDxfId="35" dataDxfId="34">
  <autoFilter ref="A8:C28"/>
  <tableColumns count="3">
    <tableColumn id="1" name="Responded" dataDxfId="33"/>
    <tableColumn id="2" name="Name" dataDxfId="32"/>
    <tableColumn id="3" name="Spam" dataDxfId="31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E8:G11" totalsRowShown="0" headerRowDxfId="30">
  <tableColumns count="3">
    <tableColumn id="1" name="Spam " dataDxfId="29"/>
    <tableColumn id="2" name="Votes" dataDxfId="28">
      <calculatedColumnFormula>COUNTIF(Table1[Spam],Table2[[#This Row],[Spam ]])</calculatedColumnFormula>
    </tableColumn>
    <tableColumn id="3" name="Percentage" dataDxfId="27">
      <calculatedColumnFormula>Table2[[#This Row],[Votes]]/20</calculatedColumnFormula>
    </tableColumn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5" name="Table46" displayName="Table46" ref="A8:C28" totalsRowShown="0" headerRowDxfId="26" dataDxfId="25">
  <autoFilter ref="A8:C28"/>
  <tableColumns count="3">
    <tableColumn id="1" name="Responded" dataDxfId="24"/>
    <tableColumn id="2" name="Name" dataDxfId="23"/>
    <tableColumn id="3" name="Privacy" dataDxfId="22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id="7" name="Table28" displayName="Table28" ref="E8:G12" totalsRowShown="0" headerRowDxfId="21">
  <tableColumns count="3">
    <tableColumn id="1" name="Spam " dataDxfId="20"/>
    <tableColumn id="2" name="Votes" dataDxfId="19">
      <calculatedColumnFormula>COUNTIF(Table46[Privacy],Table28[[#This Row],[Spam ]])</calculatedColumnFormula>
    </tableColumn>
    <tableColumn id="3" name="Percentage" dataDxfId="18">
      <calculatedColumnFormula>Table28[[#This Row],[Votes]]/20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id="10" name="Table4611" displayName="Table4611" ref="A8:C28" totalsRowShown="0" headerRowDxfId="17" dataDxfId="16">
  <autoFilter ref="A8:C28"/>
  <tableColumns count="3">
    <tableColumn id="1" name="Responded" dataDxfId="15"/>
    <tableColumn id="2" name="Name" dataDxfId="14"/>
    <tableColumn id="3" name="Privacy" dataDxfId="13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id="12" name="Table2813" displayName="Table2813" ref="E8:G11" totalsRowShown="0" headerRowDxfId="12">
  <tableColumns count="3">
    <tableColumn id="1" name="Cookies" dataDxfId="11"/>
    <tableColumn id="2" name="Votes" dataDxfId="10">
      <calculatedColumnFormula>COUNTIF(Table4611[Privacy],Table2813[[#This Row],[Cookies]])</calculatedColumnFormula>
    </tableColumn>
    <tableColumn id="3" name="Percentage" dataDxfId="9">
      <calculatedColumnFormula>Table2813[[#This Row],[Votes]]/20</calculatedColumnFormula>
    </tableColumn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14" name="Table461115" displayName="Table461115" ref="A8:C28" totalsRowShown="0" headerRowDxfId="8" dataDxfId="7">
  <autoFilter ref="A8:C28"/>
  <tableColumns count="3">
    <tableColumn id="1" name="Responded" dataDxfId="6"/>
    <tableColumn id="2" name="Name" dataDxfId="5"/>
    <tableColumn id="3" name="Privacy" dataDxfId="4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6" name="Table281317" displayName="Table281317" ref="E8:G11" totalsRowShown="0" headerRowDxfId="3">
  <tableColumns count="3">
    <tableColumn id="1" name="Privacy policy" dataDxfId="2"/>
    <tableColumn id="2" name="Votes" dataDxfId="1">
      <calculatedColumnFormula>COUNTIF(Table461115[Privacy],Table281317[[#This Row],[Privacy policy]])</calculatedColumnFormula>
    </tableColumn>
    <tableColumn id="3" name="Percentage" dataDxfId="0">
      <calculatedColumnFormula>Table281317[[#This Row],[Votes]]/20*100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F32" sqref="F32"/>
    </sheetView>
  </sheetViews>
  <sheetFormatPr defaultRowHeight="15" x14ac:dyDescent="0.25"/>
  <cols>
    <col min="1" max="1" width="15.28515625" customWidth="1"/>
    <col min="2" max="2" width="12.5703125" customWidth="1"/>
    <col min="3" max="3" width="13.5703125" customWidth="1"/>
    <col min="4" max="4" width="5.5703125" customWidth="1"/>
    <col min="5" max="5" width="13.85546875" customWidth="1"/>
    <col min="6" max="6" width="11.28515625" customWidth="1"/>
    <col min="7" max="7" width="14" customWidth="1"/>
  </cols>
  <sheetData>
    <row r="1" spans="1:12" ht="18" x14ac:dyDescent="0.25">
      <c r="A1" s="16" t="s">
        <v>0</v>
      </c>
      <c r="B1" s="16"/>
      <c r="C1" s="16"/>
      <c r="D1" s="16"/>
      <c r="E1" s="16"/>
    </row>
    <row r="3" spans="1:12" ht="18.75" x14ac:dyDescent="0.3">
      <c r="A3" s="4" t="s">
        <v>1</v>
      </c>
      <c r="B3" s="1"/>
    </row>
    <row r="4" spans="1:12" x14ac:dyDescent="0.25">
      <c r="A4" t="s">
        <v>30</v>
      </c>
    </row>
    <row r="6" spans="1:12" ht="15.75" x14ac:dyDescent="0.25">
      <c r="A6" s="2" t="s">
        <v>2</v>
      </c>
      <c r="B6" s="2"/>
      <c r="C6" s="2"/>
      <c r="D6" s="2"/>
    </row>
    <row r="8" spans="1:12" ht="15.75" customHeight="1" x14ac:dyDescent="0.25">
      <c r="A8" s="5" t="s">
        <v>3</v>
      </c>
      <c r="B8" s="5" t="s">
        <v>4</v>
      </c>
      <c r="C8" s="5" t="s">
        <v>5</v>
      </c>
      <c r="E8" t="s">
        <v>5</v>
      </c>
      <c r="F8" t="s">
        <v>6</v>
      </c>
      <c r="G8" t="s">
        <v>7</v>
      </c>
    </row>
    <row r="9" spans="1:12" ht="18.75" x14ac:dyDescent="0.3">
      <c r="A9" s="3">
        <v>1</v>
      </c>
      <c r="B9" s="3" t="s">
        <v>10</v>
      </c>
      <c r="C9" s="3" t="s">
        <v>8</v>
      </c>
      <c r="E9" s="3" t="s">
        <v>8</v>
      </c>
      <c r="F9" s="3">
        <f>COUNTIF(Table4[Privacy],Table8[[#This Row],[Privacy]])</f>
        <v>11</v>
      </c>
      <c r="G9" s="3">
        <f>Table8[[#This Row],[Votes]]/20*100</f>
        <v>55.000000000000007</v>
      </c>
    </row>
    <row r="10" spans="1:12" ht="18.75" x14ac:dyDescent="0.3">
      <c r="A10" s="3">
        <v>2</v>
      </c>
      <c r="B10" s="3" t="s">
        <v>11</v>
      </c>
      <c r="C10" s="3" t="s">
        <v>8</v>
      </c>
      <c r="E10" s="3" t="s">
        <v>9</v>
      </c>
      <c r="F10" s="3">
        <f>COUNTIF(Table4[Privacy],Table8[[#This Row],[Privacy]])</f>
        <v>5</v>
      </c>
      <c r="G10" s="3">
        <f>Table8[[#This Row],[Votes]]/20*100</f>
        <v>25</v>
      </c>
    </row>
    <row r="11" spans="1:12" ht="18.75" x14ac:dyDescent="0.3">
      <c r="A11" s="3">
        <v>3</v>
      </c>
      <c r="B11" s="3" t="s">
        <v>12</v>
      </c>
      <c r="C11" s="3" t="s">
        <v>9</v>
      </c>
      <c r="E11" s="3" t="s">
        <v>35</v>
      </c>
      <c r="F11" s="3">
        <f>COUNTIF(Table4[Privacy],Table8[[#This Row],[Privacy]])</f>
        <v>4</v>
      </c>
      <c r="G11" s="3">
        <f>Table8[[#This Row],[Votes]]/20*100</f>
        <v>20</v>
      </c>
    </row>
    <row r="12" spans="1:12" ht="18.75" x14ac:dyDescent="0.3">
      <c r="A12" s="3">
        <v>4</v>
      </c>
      <c r="B12" s="3" t="s">
        <v>13</v>
      </c>
      <c r="C12" s="3" t="s">
        <v>8</v>
      </c>
    </row>
    <row r="13" spans="1:12" ht="18.75" x14ac:dyDescent="0.3">
      <c r="A13" s="3">
        <v>5</v>
      </c>
      <c r="B13" s="3" t="s">
        <v>14</v>
      </c>
      <c r="C13" s="3" t="s">
        <v>35</v>
      </c>
      <c r="E13" s="8" t="s">
        <v>34</v>
      </c>
      <c r="F13" s="8"/>
      <c r="L13" s="9" t="s">
        <v>46</v>
      </c>
    </row>
    <row r="14" spans="1:12" ht="18.75" x14ac:dyDescent="0.3">
      <c r="A14" s="3">
        <v>6</v>
      </c>
      <c r="B14" s="3" t="s">
        <v>15</v>
      </c>
      <c r="C14" s="3" t="s">
        <v>9</v>
      </c>
    </row>
    <row r="15" spans="1:12" ht="18.75" x14ac:dyDescent="0.3">
      <c r="A15" s="3">
        <v>7</v>
      </c>
      <c r="B15" s="3" t="s">
        <v>16</v>
      </c>
      <c r="C15" s="3" t="s">
        <v>8</v>
      </c>
    </row>
    <row r="16" spans="1:12" ht="18.75" x14ac:dyDescent="0.3">
      <c r="A16" s="3">
        <v>8</v>
      </c>
      <c r="B16" s="3" t="s">
        <v>17</v>
      </c>
      <c r="C16" s="3" t="s">
        <v>35</v>
      </c>
    </row>
    <row r="17" spans="1:5" ht="18.75" x14ac:dyDescent="0.3">
      <c r="A17" s="3">
        <v>9</v>
      </c>
      <c r="B17" s="3" t="s">
        <v>18</v>
      </c>
      <c r="C17" s="3" t="s">
        <v>8</v>
      </c>
    </row>
    <row r="18" spans="1:5" ht="18.75" x14ac:dyDescent="0.3">
      <c r="A18" s="3">
        <v>10</v>
      </c>
      <c r="B18" s="3" t="s">
        <v>19</v>
      </c>
      <c r="C18" s="3" t="s">
        <v>8</v>
      </c>
    </row>
    <row r="19" spans="1:5" ht="18.75" x14ac:dyDescent="0.3">
      <c r="A19" s="3">
        <v>11</v>
      </c>
      <c r="B19" s="3" t="s">
        <v>20</v>
      </c>
      <c r="C19" s="3" t="s">
        <v>8</v>
      </c>
    </row>
    <row r="20" spans="1:5" ht="18.75" x14ac:dyDescent="0.3">
      <c r="A20" s="3">
        <v>12</v>
      </c>
      <c r="B20" s="3" t="s">
        <v>21</v>
      </c>
      <c r="C20" s="3" t="s">
        <v>8</v>
      </c>
    </row>
    <row r="21" spans="1:5" ht="18.75" x14ac:dyDescent="0.3">
      <c r="A21" s="3">
        <v>13</v>
      </c>
      <c r="B21" s="3" t="s">
        <v>22</v>
      </c>
      <c r="C21" s="3" t="s">
        <v>8</v>
      </c>
    </row>
    <row r="22" spans="1:5" ht="18.75" x14ac:dyDescent="0.3">
      <c r="A22" s="3">
        <v>14</v>
      </c>
      <c r="B22" s="3" t="s">
        <v>23</v>
      </c>
      <c r="C22" s="3" t="s">
        <v>9</v>
      </c>
    </row>
    <row r="23" spans="1:5" ht="18.75" x14ac:dyDescent="0.3">
      <c r="A23" s="3">
        <v>15</v>
      </c>
      <c r="B23" s="3" t="s">
        <v>24</v>
      </c>
      <c r="C23" s="3" t="s">
        <v>8</v>
      </c>
    </row>
    <row r="24" spans="1:5" ht="18.75" x14ac:dyDescent="0.3">
      <c r="A24" s="3">
        <v>16</v>
      </c>
      <c r="B24" s="3" t="s">
        <v>25</v>
      </c>
      <c r="C24" s="3" t="s">
        <v>8</v>
      </c>
    </row>
    <row r="25" spans="1:5" ht="18.75" x14ac:dyDescent="0.3">
      <c r="A25" s="3">
        <v>17</v>
      </c>
      <c r="B25" s="3" t="s">
        <v>26</v>
      </c>
      <c r="C25" s="3" t="s">
        <v>9</v>
      </c>
    </row>
    <row r="26" spans="1:5" ht="18.75" x14ac:dyDescent="0.3">
      <c r="A26" s="3">
        <v>18</v>
      </c>
      <c r="B26" s="3" t="s">
        <v>27</v>
      </c>
      <c r="C26" s="3" t="s">
        <v>35</v>
      </c>
      <c r="E26" s="9" t="s">
        <v>48</v>
      </c>
    </row>
    <row r="27" spans="1:5" ht="18.75" x14ac:dyDescent="0.3">
      <c r="A27" s="3">
        <v>19</v>
      </c>
      <c r="B27" s="3" t="s">
        <v>28</v>
      </c>
      <c r="C27" s="3" t="s">
        <v>35</v>
      </c>
      <c r="E27" t="s">
        <v>56</v>
      </c>
    </row>
    <row r="28" spans="1:5" ht="18.75" x14ac:dyDescent="0.3">
      <c r="A28" s="3">
        <v>20</v>
      </c>
      <c r="B28" s="3" t="s">
        <v>29</v>
      </c>
      <c r="C28" s="3" t="s">
        <v>9</v>
      </c>
      <c r="E28" t="s">
        <v>57</v>
      </c>
    </row>
    <row r="29" spans="1:5" x14ac:dyDescent="0.25">
      <c r="E29" t="s">
        <v>58</v>
      </c>
    </row>
    <row r="30" spans="1:5" x14ac:dyDescent="0.25">
      <c r="E30" t="s">
        <v>59</v>
      </c>
    </row>
  </sheetData>
  <mergeCells count="1">
    <mergeCell ref="A1:E1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A7" workbookViewId="0">
      <selection activeCell="E36" sqref="E36"/>
    </sheetView>
  </sheetViews>
  <sheetFormatPr defaultRowHeight="15" x14ac:dyDescent="0.25"/>
  <cols>
    <col min="1" max="1" width="16.140625" customWidth="1"/>
    <col min="2" max="2" width="14.85546875" customWidth="1"/>
    <col min="3" max="3" width="16.140625" customWidth="1"/>
    <col min="4" max="4" width="5.5703125" customWidth="1"/>
    <col min="5" max="5" width="11" customWidth="1"/>
    <col min="6" max="6" width="10.28515625" customWidth="1"/>
    <col min="7" max="7" width="14.85546875" customWidth="1"/>
  </cols>
  <sheetData>
    <row r="1" spans="1:12" ht="18" x14ac:dyDescent="0.25">
      <c r="A1" s="16" t="s">
        <v>31</v>
      </c>
      <c r="B1" s="16"/>
      <c r="C1" s="16"/>
      <c r="D1" s="16"/>
      <c r="E1" s="16"/>
    </row>
    <row r="3" spans="1:12" ht="18" x14ac:dyDescent="0.25">
      <c r="A3" s="4" t="s">
        <v>1</v>
      </c>
      <c r="B3" s="4"/>
      <c r="C3" s="4"/>
    </row>
    <row r="4" spans="1:12" x14ac:dyDescent="0.25">
      <c r="A4" t="s">
        <v>67</v>
      </c>
    </row>
    <row r="6" spans="1:12" x14ac:dyDescent="0.25">
      <c r="A6" t="s">
        <v>36</v>
      </c>
    </row>
    <row r="8" spans="1:12" x14ac:dyDescent="0.25">
      <c r="A8" s="6" t="s">
        <v>3</v>
      </c>
      <c r="B8" s="6" t="s">
        <v>4</v>
      </c>
      <c r="C8" s="6" t="s">
        <v>31</v>
      </c>
      <c r="E8" s="6" t="s">
        <v>32</v>
      </c>
      <c r="F8" s="6" t="s">
        <v>6</v>
      </c>
      <c r="G8" s="6" t="s">
        <v>33</v>
      </c>
    </row>
    <row r="9" spans="1:12" ht="18" x14ac:dyDescent="0.25">
      <c r="A9" s="11">
        <v>1</v>
      </c>
      <c r="B9" s="11" t="s">
        <v>10</v>
      </c>
      <c r="C9" s="11" t="s">
        <v>35</v>
      </c>
      <c r="E9" s="7" t="s">
        <v>8</v>
      </c>
      <c r="F9" s="7">
        <f>COUNTIF(Table1[Spam],Table2[[#This Row],[Spam ]])</f>
        <v>5</v>
      </c>
      <c r="G9" s="14">
        <f>Table2[[#This Row],[Votes]]/20</f>
        <v>0.25</v>
      </c>
    </row>
    <row r="10" spans="1:12" ht="18" x14ac:dyDescent="0.25">
      <c r="A10" s="11">
        <v>2</v>
      </c>
      <c r="B10" s="11" t="s">
        <v>11</v>
      </c>
      <c r="C10" s="11" t="s">
        <v>9</v>
      </c>
      <c r="E10" s="7" t="s">
        <v>9</v>
      </c>
      <c r="F10" s="7">
        <f>COUNTIF(Table1[Spam],Table2[[#This Row],[Spam ]])</f>
        <v>10</v>
      </c>
      <c r="G10" s="15">
        <f>Table2[[#This Row],[Votes]]/20</f>
        <v>0.5</v>
      </c>
    </row>
    <row r="11" spans="1:12" ht="18" x14ac:dyDescent="0.25">
      <c r="A11" s="11">
        <v>3</v>
      </c>
      <c r="B11" s="11" t="s">
        <v>12</v>
      </c>
      <c r="C11" s="11" t="s">
        <v>9</v>
      </c>
      <c r="E11" s="7" t="s">
        <v>35</v>
      </c>
      <c r="F11" s="7">
        <f>COUNTIF(Table1[Spam],Table2[[#This Row],[Spam ]])</f>
        <v>5</v>
      </c>
      <c r="G11" s="15">
        <f>Table2[[#This Row],[Votes]]/20</f>
        <v>0.25</v>
      </c>
      <c r="J11" s="13"/>
    </row>
    <row r="12" spans="1:12" ht="18" x14ac:dyDescent="0.25">
      <c r="A12" s="11">
        <v>4</v>
      </c>
      <c r="B12" s="11" t="s">
        <v>13</v>
      </c>
      <c r="C12" s="11" t="s">
        <v>35</v>
      </c>
    </row>
    <row r="13" spans="1:12" ht="18" x14ac:dyDescent="0.25">
      <c r="A13" s="11">
        <v>5</v>
      </c>
      <c r="B13" s="11" t="s">
        <v>14</v>
      </c>
      <c r="C13" s="11" t="s">
        <v>8</v>
      </c>
      <c r="E13" s="9" t="s">
        <v>37</v>
      </c>
      <c r="F13" s="9"/>
      <c r="L13" s="9" t="s">
        <v>38</v>
      </c>
    </row>
    <row r="14" spans="1:12" ht="18" x14ac:dyDescent="0.25">
      <c r="A14" s="11">
        <v>6</v>
      </c>
      <c r="B14" s="11" t="s">
        <v>15</v>
      </c>
      <c r="C14" s="11" t="s">
        <v>9</v>
      </c>
    </row>
    <row r="15" spans="1:12" ht="18" x14ac:dyDescent="0.25">
      <c r="A15" s="11">
        <v>7</v>
      </c>
      <c r="B15" s="11" t="s">
        <v>16</v>
      </c>
      <c r="C15" s="11" t="s">
        <v>9</v>
      </c>
    </row>
    <row r="16" spans="1:12" ht="18" x14ac:dyDescent="0.25">
      <c r="A16" s="11">
        <v>8</v>
      </c>
      <c r="B16" s="11" t="s">
        <v>17</v>
      </c>
      <c r="C16" s="11" t="s">
        <v>8</v>
      </c>
    </row>
    <row r="17" spans="1:5" ht="18" x14ac:dyDescent="0.25">
      <c r="A17" s="11">
        <v>9</v>
      </c>
      <c r="B17" s="11" t="s">
        <v>18</v>
      </c>
      <c r="C17" s="11" t="s">
        <v>8</v>
      </c>
    </row>
    <row r="18" spans="1:5" ht="18" x14ac:dyDescent="0.25">
      <c r="A18" s="11">
        <v>10</v>
      </c>
      <c r="B18" s="11" t="s">
        <v>19</v>
      </c>
      <c r="C18" s="11" t="s">
        <v>8</v>
      </c>
    </row>
    <row r="19" spans="1:5" ht="18" x14ac:dyDescent="0.25">
      <c r="A19" s="11">
        <v>11</v>
      </c>
      <c r="B19" s="11" t="s">
        <v>20</v>
      </c>
      <c r="C19" s="11" t="s">
        <v>9</v>
      </c>
    </row>
    <row r="20" spans="1:5" ht="18" x14ac:dyDescent="0.25">
      <c r="A20" s="11">
        <v>12</v>
      </c>
      <c r="B20" s="11" t="s">
        <v>21</v>
      </c>
      <c r="C20" s="11" t="s">
        <v>35</v>
      </c>
    </row>
    <row r="21" spans="1:5" ht="18" x14ac:dyDescent="0.25">
      <c r="A21" s="11">
        <v>13</v>
      </c>
      <c r="B21" s="11" t="s">
        <v>22</v>
      </c>
      <c r="C21" s="11" t="s">
        <v>8</v>
      </c>
    </row>
    <row r="22" spans="1:5" ht="18" x14ac:dyDescent="0.25">
      <c r="A22" s="11">
        <v>14</v>
      </c>
      <c r="B22" s="11" t="s">
        <v>23</v>
      </c>
      <c r="C22" s="11" t="s">
        <v>9</v>
      </c>
    </row>
    <row r="23" spans="1:5" ht="18" x14ac:dyDescent="0.25">
      <c r="A23" s="11">
        <v>15</v>
      </c>
      <c r="B23" s="11" t="s">
        <v>24</v>
      </c>
      <c r="C23" s="11" t="s">
        <v>9</v>
      </c>
    </row>
    <row r="24" spans="1:5" ht="18" x14ac:dyDescent="0.25">
      <c r="A24" s="11">
        <v>16</v>
      </c>
      <c r="B24" s="11" t="s">
        <v>25</v>
      </c>
      <c r="C24" s="11" t="s">
        <v>9</v>
      </c>
    </row>
    <row r="25" spans="1:5" ht="18" x14ac:dyDescent="0.25">
      <c r="A25" s="11">
        <v>17</v>
      </c>
      <c r="B25" s="11" t="s">
        <v>26</v>
      </c>
      <c r="C25" s="11" t="s">
        <v>35</v>
      </c>
    </row>
    <row r="26" spans="1:5" ht="18" x14ac:dyDescent="0.25">
      <c r="A26" s="11">
        <v>18</v>
      </c>
      <c r="B26" s="11" t="s">
        <v>27</v>
      </c>
      <c r="C26" s="11" t="s">
        <v>9</v>
      </c>
      <c r="E26" s="9" t="s">
        <v>48</v>
      </c>
    </row>
    <row r="27" spans="1:5" ht="18" x14ac:dyDescent="0.25">
      <c r="A27" s="11">
        <v>19</v>
      </c>
      <c r="B27" s="11" t="s">
        <v>28</v>
      </c>
      <c r="C27" s="11" t="s">
        <v>9</v>
      </c>
      <c r="E27" t="s">
        <v>75</v>
      </c>
    </row>
    <row r="28" spans="1:5" ht="18" x14ac:dyDescent="0.25">
      <c r="A28" s="11">
        <v>20</v>
      </c>
      <c r="B28" s="11" t="s">
        <v>29</v>
      </c>
      <c r="C28" s="11" t="s">
        <v>35</v>
      </c>
      <c r="E28" t="s">
        <v>76</v>
      </c>
    </row>
    <row r="29" spans="1:5" x14ac:dyDescent="0.25">
      <c r="E29" t="s">
        <v>77</v>
      </c>
    </row>
  </sheetData>
  <mergeCells count="1">
    <mergeCell ref="A1:E1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7" workbookViewId="0">
      <selection activeCell="F38" sqref="F38"/>
    </sheetView>
  </sheetViews>
  <sheetFormatPr defaultRowHeight="15" x14ac:dyDescent="0.25"/>
  <cols>
    <col min="1" max="1" width="15.5703125" customWidth="1"/>
    <col min="2" max="2" width="13.28515625" customWidth="1"/>
    <col min="3" max="3" width="13.7109375" customWidth="1"/>
    <col min="4" max="4" width="6.140625" customWidth="1"/>
    <col min="5" max="5" width="11.42578125" customWidth="1"/>
    <col min="6" max="6" width="10.140625" customWidth="1"/>
    <col min="7" max="7" width="12.85546875" customWidth="1"/>
  </cols>
  <sheetData>
    <row r="1" spans="1:13" ht="15.75" x14ac:dyDescent="0.25">
      <c r="A1" s="17" t="s">
        <v>39</v>
      </c>
      <c r="B1" s="17"/>
      <c r="C1" s="17"/>
    </row>
    <row r="3" spans="1:13" ht="18" x14ac:dyDescent="0.25">
      <c r="A3" s="4" t="s">
        <v>1</v>
      </c>
      <c r="B3" s="4"/>
    </row>
    <row r="4" spans="1:13" x14ac:dyDescent="0.25">
      <c r="A4" t="s">
        <v>44</v>
      </c>
    </row>
    <row r="6" spans="1:13" x14ac:dyDescent="0.25">
      <c r="A6" t="s">
        <v>42</v>
      </c>
    </row>
    <row r="8" spans="1:13" x14ac:dyDescent="0.25">
      <c r="A8" s="5" t="s">
        <v>3</v>
      </c>
      <c r="B8" s="5" t="s">
        <v>4</v>
      </c>
      <c r="C8" s="5" t="s">
        <v>5</v>
      </c>
      <c r="E8" s="6" t="s">
        <v>32</v>
      </c>
      <c r="F8" s="6" t="s">
        <v>6</v>
      </c>
      <c r="G8" s="6" t="s">
        <v>33</v>
      </c>
    </row>
    <row r="9" spans="1:13" ht="18.75" x14ac:dyDescent="0.3">
      <c r="A9" s="3">
        <v>1</v>
      </c>
      <c r="B9" s="3" t="s">
        <v>10</v>
      </c>
      <c r="C9" s="3" t="s">
        <v>9</v>
      </c>
      <c r="E9" s="7" t="s">
        <v>8</v>
      </c>
      <c r="F9" s="7">
        <f>COUNTIF(Table46[Privacy],Table28[[#This Row],[Spam ]])</f>
        <v>2</v>
      </c>
      <c r="G9" s="14">
        <f>Table28[[#This Row],[Votes]]/20</f>
        <v>0.1</v>
      </c>
    </row>
    <row r="10" spans="1:13" ht="18.75" x14ac:dyDescent="0.3">
      <c r="A10" s="3">
        <v>2</v>
      </c>
      <c r="B10" s="3" t="s">
        <v>11</v>
      </c>
      <c r="C10" s="3" t="s">
        <v>9</v>
      </c>
      <c r="E10" s="7" t="s">
        <v>9</v>
      </c>
      <c r="F10" s="7">
        <f>COUNTIF(Table46[Privacy],Table28[[#This Row],[Spam ]])</f>
        <v>8</v>
      </c>
      <c r="G10" s="15">
        <f>Table28[[#This Row],[Votes]]/20</f>
        <v>0.4</v>
      </c>
    </row>
    <row r="11" spans="1:13" ht="18.75" x14ac:dyDescent="0.3">
      <c r="A11" s="3">
        <v>3</v>
      </c>
      <c r="B11" s="3" t="s">
        <v>12</v>
      </c>
      <c r="C11" s="3" t="s">
        <v>43</v>
      </c>
      <c r="E11" s="7" t="s">
        <v>35</v>
      </c>
      <c r="F11" s="7">
        <f>COUNTIF(Table46[Privacy],Table28[[#This Row],[Spam ]])</f>
        <v>6</v>
      </c>
      <c r="G11" s="15">
        <f>Table28[[#This Row],[Votes]]/20</f>
        <v>0.3</v>
      </c>
    </row>
    <row r="12" spans="1:13" ht="18.75" x14ac:dyDescent="0.3">
      <c r="A12" s="3">
        <v>4</v>
      </c>
      <c r="B12" s="3" t="s">
        <v>13</v>
      </c>
      <c r="C12" s="3" t="s">
        <v>9</v>
      </c>
      <c r="E12" s="7" t="s">
        <v>43</v>
      </c>
      <c r="F12" s="10">
        <f>COUNTIF(Table46[Privacy],Table28[[#This Row],[Spam ]])</f>
        <v>4</v>
      </c>
      <c r="G12" s="15">
        <f>Table28[[#This Row],[Votes]]/20</f>
        <v>0.2</v>
      </c>
    </row>
    <row r="13" spans="1:13" ht="18.75" x14ac:dyDescent="0.3">
      <c r="A13" s="3">
        <v>5</v>
      </c>
      <c r="B13" s="3" t="s">
        <v>14</v>
      </c>
      <c r="C13" s="3" t="s">
        <v>9</v>
      </c>
    </row>
    <row r="14" spans="1:13" ht="18.75" x14ac:dyDescent="0.3">
      <c r="A14" s="3">
        <v>6</v>
      </c>
      <c r="B14" s="3" t="s">
        <v>15</v>
      </c>
      <c r="C14" s="3" t="s">
        <v>35</v>
      </c>
      <c r="E14" s="9" t="s">
        <v>45</v>
      </c>
      <c r="F14" s="9"/>
      <c r="G14" s="9"/>
      <c r="L14" s="9" t="s">
        <v>47</v>
      </c>
      <c r="M14" s="9"/>
    </row>
    <row r="15" spans="1:13" ht="18.75" x14ac:dyDescent="0.3">
      <c r="A15" s="3">
        <v>7</v>
      </c>
      <c r="B15" s="3" t="s">
        <v>16</v>
      </c>
      <c r="C15" s="3" t="s">
        <v>35</v>
      </c>
    </row>
    <row r="16" spans="1:13" ht="18.75" x14ac:dyDescent="0.3">
      <c r="A16" s="3">
        <v>8</v>
      </c>
      <c r="B16" s="3" t="s">
        <v>17</v>
      </c>
      <c r="C16" s="3" t="s">
        <v>8</v>
      </c>
    </row>
    <row r="17" spans="1:5" ht="18.75" x14ac:dyDescent="0.3">
      <c r="A17" s="3">
        <v>9</v>
      </c>
      <c r="B17" s="3" t="s">
        <v>18</v>
      </c>
      <c r="C17" s="3" t="s">
        <v>43</v>
      </c>
    </row>
    <row r="18" spans="1:5" ht="18.75" x14ac:dyDescent="0.3">
      <c r="A18" s="3">
        <v>10</v>
      </c>
      <c r="B18" s="3" t="s">
        <v>19</v>
      </c>
      <c r="C18" s="3" t="s">
        <v>9</v>
      </c>
    </row>
    <row r="19" spans="1:5" ht="18.75" x14ac:dyDescent="0.3">
      <c r="A19" s="3">
        <v>11</v>
      </c>
      <c r="B19" s="3" t="s">
        <v>20</v>
      </c>
      <c r="C19" s="3" t="s">
        <v>9</v>
      </c>
    </row>
    <row r="20" spans="1:5" ht="18.75" x14ac:dyDescent="0.3">
      <c r="A20" s="3">
        <v>12</v>
      </c>
      <c r="B20" s="3" t="s">
        <v>21</v>
      </c>
      <c r="C20" s="3" t="s">
        <v>35</v>
      </c>
    </row>
    <row r="21" spans="1:5" ht="18.75" x14ac:dyDescent="0.3">
      <c r="A21" s="3">
        <v>13</v>
      </c>
      <c r="B21" s="3" t="s">
        <v>22</v>
      </c>
      <c r="C21" s="3" t="s">
        <v>43</v>
      </c>
    </row>
    <row r="22" spans="1:5" ht="18.75" x14ac:dyDescent="0.3">
      <c r="A22" s="3">
        <v>14</v>
      </c>
      <c r="B22" s="3" t="s">
        <v>23</v>
      </c>
      <c r="C22" s="3" t="s">
        <v>8</v>
      </c>
    </row>
    <row r="23" spans="1:5" ht="18.75" x14ac:dyDescent="0.3">
      <c r="A23" s="3">
        <v>15</v>
      </c>
      <c r="B23" s="3" t="s">
        <v>24</v>
      </c>
      <c r="C23" s="3" t="s">
        <v>35</v>
      </c>
    </row>
    <row r="24" spans="1:5" ht="18.75" x14ac:dyDescent="0.3">
      <c r="A24" s="3">
        <v>16</v>
      </c>
      <c r="B24" s="3" t="s">
        <v>25</v>
      </c>
      <c r="C24" s="3" t="s">
        <v>43</v>
      </c>
    </row>
    <row r="25" spans="1:5" ht="18.75" x14ac:dyDescent="0.3">
      <c r="A25" s="3">
        <v>17</v>
      </c>
      <c r="B25" s="3" t="s">
        <v>26</v>
      </c>
      <c r="C25" s="3" t="s">
        <v>35</v>
      </c>
    </row>
    <row r="26" spans="1:5" ht="18.75" x14ac:dyDescent="0.3">
      <c r="A26" s="3">
        <v>18</v>
      </c>
      <c r="B26" s="3" t="s">
        <v>27</v>
      </c>
      <c r="C26" s="3" t="s">
        <v>9</v>
      </c>
    </row>
    <row r="27" spans="1:5" ht="18.75" x14ac:dyDescent="0.3">
      <c r="A27" s="3">
        <v>19</v>
      </c>
      <c r="B27" s="3" t="s">
        <v>28</v>
      </c>
      <c r="C27" s="3" t="s">
        <v>35</v>
      </c>
      <c r="E27" s="9" t="s">
        <v>48</v>
      </c>
    </row>
    <row r="28" spans="1:5" ht="18.75" x14ac:dyDescent="0.3">
      <c r="A28" s="3">
        <v>20</v>
      </c>
      <c r="B28" s="3" t="s">
        <v>29</v>
      </c>
      <c r="C28" s="3" t="s">
        <v>9</v>
      </c>
      <c r="E28" t="s">
        <v>71</v>
      </c>
    </row>
    <row r="29" spans="1:5" x14ac:dyDescent="0.25">
      <c r="E29" t="s">
        <v>72</v>
      </c>
    </row>
    <row r="30" spans="1:5" x14ac:dyDescent="0.25">
      <c r="E30" t="s">
        <v>73</v>
      </c>
    </row>
    <row r="31" spans="1:5" x14ac:dyDescent="0.25">
      <c r="E31" t="s">
        <v>74</v>
      </c>
    </row>
  </sheetData>
  <mergeCells count="1">
    <mergeCell ref="A1:C1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J9" sqref="J9"/>
    </sheetView>
  </sheetViews>
  <sheetFormatPr defaultRowHeight="15" x14ac:dyDescent="0.25"/>
  <cols>
    <col min="1" max="1" width="14.5703125" customWidth="1"/>
    <col min="2" max="2" width="12.28515625" customWidth="1"/>
    <col min="3" max="3" width="13" customWidth="1"/>
    <col min="4" max="4" width="4.85546875" customWidth="1"/>
    <col min="5" max="5" width="12.7109375" customWidth="1"/>
    <col min="7" max="7" width="13.42578125" customWidth="1"/>
  </cols>
  <sheetData>
    <row r="1" spans="1:13" ht="15.75" x14ac:dyDescent="0.25">
      <c r="A1" s="17" t="s">
        <v>40</v>
      </c>
      <c r="B1" s="17"/>
      <c r="C1" s="17"/>
    </row>
    <row r="3" spans="1:13" ht="18" x14ac:dyDescent="0.25">
      <c r="A3" s="4" t="s">
        <v>1</v>
      </c>
      <c r="B3" s="4"/>
    </row>
    <row r="4" spans="1:13" x14ac:dyDescent="0.25">
      <c r="A4" t="s">
        <v>62</v>
      </c>
    </row>
    <row r="6" spans="1:13" x14ac:dyDescent="0.25">
      <c r="A6" t="s">
        <v>53</v>
      </c>
    </row>
    <row r="8" spans="1:13" x14ac:dyDescent="0.25">
      <c r="A8" s="5" t="s">
        <v>3</v>
      </c>
      <c r="B8" s="5" t="s">
        <v>4</v>
      </c>
      <c r="C8" s="5" t="s">
        <v>5</v>
      </c>
      <c r="E8" s="6" t="s">
        <v>40</v>
      </c>
      <c r="F8" s="6" t="s">
        <v>6</v>
      </c>
      <c r="G8" s="6" t="s">
        <v>33</v>
      </c>
    </row>
    <row r="9" spans="1:13" ht="18.75" x14ac:dyDescent="0.3">
      <c r="A9" s="3">
        <v>1</v>
      </c>
      <c r="B9" s="3" t="s">
        <v>10</v>
      </c>
      <c r="C9" s="3" t="s">
        <v>8</v>
      </c>
      <c r="E9" s="7" t="s">
        <v>8</v>
      </c>
      <c r="F9" s="7">
        <f>COUNTIF(Table4611[Privacy],Table2813[[#This Row],[Cookies]])</f>
        <v>14</v>
      </c>
      <c r="G9" s="14">
        <f>Table2813[[#This Row],[Votes]]/20</f>
        <v>0.7</v>
      </c>
    </row>
    <row r="10" spans="1:13" ht="18.75" x14ac:dyDescent="0.3">
      <c r="A10" s="3">
        <v>2</v>
      </c>
      <c r="B10" s="3" t="s">
        <v>11</v>
      </c>
      <c r="C10" s="3" t="s">
        <v>35</v>
      </c>
      <c r="E10" s="7" t="s">
        <v>9</v>
      </c>
      <c r="F10" s="7">
        <f>COUNTIF(Table4611[Privacy],Table2813[[#This Row],[Cookies]])</f>
        <v>1</v>
      </c>
      <c r="G10" s="15">
        <f>Table2813[[#This Row],[Votes]]/20</f>
        <v>0.05</v>
      </c>
    </row>
    <row r="11" spans="1:13" ht="18.75" x14ac:dyDescent="0.3">
      <c r="A11" s="3">
        <v>3</v>
      </c>
      <c r="B11" s="3" t="s">
        <v>12</v>
      </c>
      <c r="C11" s="3" t="s">
        <v>8</v>
      </c>
      <c r="E11" s="7" t="s">
        <v>35</v>
      </c>
      <c r="F11" s="7">
        <f>COUNTIF(Table4611[Privacy],Table2813[[#This Row],[Cookies]])</f>
        <v>5</v>
      </c>
      <c r="G11" s="15">
        <f>Table2813[[#This Row],[Votes]]/20</f>
        <v>0.25</v>
      </c>
    </row>
    <row r="12" spans="1:13" ht="18.75" x14ac:dyDescent="0.3">
      <c r="A12" s="3">
        <v>4</v>
      </c>
      <c r="B12" s="3" t="s">
        <v>13</v>
      </c>
      <c r="C12" s="3" t="s">
        <v>8</v>
      </c>
    </row>
    <row r="13" spans="1:13" ht="18.75" x14ac:dyDescent="0.3">
      <c r="A13" s="3">
        <v>5</v>
      </c>
      <c r="B13" s="3" t="s">
        <v>14</v>
      </c>
      <c r="C13" s="3" t="s">
        <v>8</v>
      </c>
      <c r="E13" s="12" t="s">
        <v>68</v>
      </c>
      <c r="F13" s="12"/>
      <c r="L13" s="12" t="s">
        <v>55</v>
      </c>
      <c r="M13" s="12"/>
    </row>
    <row r="14" spans="1:13" ht="18.75" x14ac:dyDescent="0.3">
      <c r="A14" s="3">
        <v>6</v>
      </c>
      <c r="B14" s="3" t="s">
        <v>15</v>
      </c>
      <c r="C14" s="3" t="s">
        <v>8</v>
      </c>
    </row>
    <row r="15" spans="1:13" ht="18.75" x14ac:dyDescent="0.3">
      <c r="A15" s="3">
        <v>7</v>
      </c>
      <c r="B15" s="3" t="s">
        <v>16</v>
      </c>
      <c r="C15" s="3" t="s">
        <v>35</v>
      </c>
    </row>
    <row r="16" spans="1:13" ht="18.75" x14ac:dyDescent="0.3">
      <c r="A16" s="3">
        <v>8</v>
      </c>
      <c r="B16" s="3" t="s">
        <v>17</v>
      </c>
      <c r="C16" s="3" t="s">
        <v>8</v>
      </c>
    </row>
    <row r="17" spans="1:5" ht="18.75" x14ac:dyDescent="0.3">
      <c r="A17" s="3">
        <v>9</v>
      </c>
      <c r="B17" s="3" t="s">
        <v>18</v>
      </c>
      <c r="C17" s="3" t="s">
        <v>8</v>
      </c>
    </row>
    <row r="18" spans="1:5" ht="18.75" x14ac:dyDescent="0.3">
      <c r="A18" s="3">
        <v>10</v>
      </c>
      <c r="B18" s="3" t="s">
        <v>19</v>
      </c>
      <c r="C18" s="3" t="s">
        <v>8</v>
      </c>
    </row>
    <row r="19" spans="1:5" ht="18.75" x14ac:dyDescent="0.3">
      <c r="A19" s="3">
        <v>11</v>
      </c>
      <c r="B19" s="3" t="s">
        <v>20</v>
      </c>
      <c r="C19" s="3" t="s">
        <v>35</v>
      </c>
    </row>
    <row r="20" spans="1:5" ht="18.75" x14ac:dyDescent="0.3">
      <c r="A20" s="3">
        <v>12</v>
      </c>
      <c r="B20" s="3" t="s">
        <v>21</v>
      </c>
      <c r="C20" s="3" t="s">
        <v>35</v>
      </c>
    </row>
    <row r="21" spans="1:5" ht="18.75" x14ac:dyDescent="0.3">
      <c r="A21" s="3">
        <v>13</v>
      </c>
      <c r="B21" s="3" t="s">
        <v>22</v>
      </c>
      <c r="C21" s="3" t="s">
        <v>8</v>
      </c>
    </row>
    <row r="22" spans="1:5" ht="18.75" x14ac:dyDescent="0.3">
      <c r="A22" s="3">
        <v>14</v>
      </c>
      <c r="B22" s="3" t="s">
        <v>23</v>
      </c>
      <c r="C22" s="3" t="s">
        <v>9</v>
      </c>
    </row>
    <row r="23" spans="1:5" ht="18.75" x14ac:dyDescent="0.3">
      <c r="A23" s="3">
        <v>15</v>
      </c>
      <c r="B23" s="3" t="s">
        <v>24</v>
      </c>
      <c r="C23" s="3" t="s">
        <v>8</v>
      </c>
    </row>
    <row r="24" spans="1:5" ht="18.75" x14ac:dyDescent="0.3">
      <c r="A24" s="3">
        <v>16</v>
      </c>
      <c r="B24" s="3" t="s">
        <v>25</v>
      </c>
      <c r="C24" s="3" t="s">
        <v>8</v>
      </c>
    </row>
    <row r="25" spans="1:5" ht="18.75" x14ac:dyDescent="0.3">
      <c r="A25" s="3">
        <v>17</v>
      </c>
      <c r="B25" s="3" t="s">
        <v>26</v>
      </c>
      <c r="C25" s="3" t="s">
        <v>8</v>
      </c>
    </row>
    <row r="26" spans="1:5" ht="18.75" x14ac:dyDescent="0.3">
      <c r="A26" s="3">
        <v>18</v>
      </c>
      <c r="B26" s="3" t="s">
        <v>27</v>
      </c>
      <c r="C26" s="3" t="s">
        <v>8</v>
      </c>
      <c r="E26" s="12" t="s">
        <v>54</v>
      </c>
    </row>
    <row r="27" spans="1:5" ht="18.75" x14ac:dyDescent="0.3">
      <c r="A27" s="3">
        <v>19</v>
      </c>
      <c r="B27" s="3" t="s">
        <v>28</v>
      </c>
      <c r="C27" s="3" t="s">
        <v>8</v>
      </c>
      <c r="E27" t="s">
        <v>60</v>
      </c>
    </row>
    <row r="28" spans="1:5" ht="18.75" x14ac:dyDescent="0.3">
      <c r="A28" s="3">
        <v>20</v>
      </c>
      <c r="B28" s="3" t="s">
        <v>29</v>
      </c>
      <c r="C28" s="3" t="s">
        <v>35</v>
      </c>
      <c r="E28" t="s">
        <v>61</v>
      </c>
    </row>
    <row r="29" spans="1:5" x14ac:dyDescent="0.25">
      <c r="E29" t="s">
        <v>69</v>
      </c>
    </row>
    <row r="30" spans="1:5" x14ac:dyDescent="0.25">
      <c r="E30" t="s">
        <v>70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A4" workbookViewId="0">
      <selection activeCell="R10" sqref="R10"/>
    </sheetView>
  </sheetViews>
  <sheetFormatPr defaultRowHeight="15" x14ac:dyDescent="0.25"/>
  <cols>
    <col min="1" max="1" width="14.42578125" customWidth="1"/>
    <col min="2" max="2" width="13" customWidth="1"/>
    <col min="3" max="3" width="13.7109375" customWidth="1"/>
    <col min="4" max="4" width="4.85546875" customWidth="1"/>
    <col min="5" max="5" width="15" customWidth="1"/>
    <col min="7" max="7" width="12.85546875" customWidth="1"/>
  </cols>
  <sheetData>
    <row r="1" spans="1:12" ht="15.75" x14ac:dyDescent="0.25">
      <c r="A1" s="17" t="s">
        <v>41</v>
      </c>
      <c r="B1" s="17"/>
      <c r="C1" s="17"/>
    </row>
    <row r="3" spans="1:12" ht="18" x14ac:dyDescent="0.25">
      <c r="A3" s="4" t="s">
        <v>1</v>
      </c>
      <c r="B3" s="4"/>
    </row>
    <row r="4" spans="1:12" x14ac:dyDescent="0.25">
      <c r="A4" t="s">
        <v>49</v>
      </c>
    </row>
    <row r="6" spans="1:12" x14ac:dyDescent="0.25">
      <c r="A6" t="s">
        <v>63</v>
      </c>
    </row>
    <row r="8" spans="1:12" x14ac:dyDescent="0.25">
      <c r="A8" s="5" t="s">
        <v>3</v>
      </c>
      <c r="B8" s="5" t="s">
        <v>4</v>
      </c>
      <c r="C8" s="5" t="s">
        <v>5</v>
      </c>
      <c r="E8" s="6" t="s">
        <v>50</v>
      </c>
      <c r="F8" s="6" t="s">
        <v>6</v>
      </c>
      <c r="G8" s="6" t="s">
        <v>33</v>
      </c>
    </row>
    <row r="9" spans="1:12" ht="18.75" x14ac:dyDescent="0.3">
      <c r="A9" s="3">
        <v>1</v>
      </c>
      <c r="B9" s="3" t="s">
        <v>10</v>
      </c>
      <c r="C9" s="3" t="s">
        <v>35</v>
      </c>
      <c r="E9" s="7" t="s">
        <v>8</v>
      </c>
      <c r="F9" s="7">
        <f>COUNTIF(Table461115[Privacy],Table281317[[#This Row],[Privacy policy]])</f>
        <v>13</v>
      </c>
      <c r="G9" s="7">
        <f>Table281317[[#This Row],[Votes]]/20*100</f>
        <v>65</v>
      </c>
    </row>
    <row r="10" spans="1:12" ht="18.75" x14ac:dyDescent="0.3">
      <c r="A10" s="3">
        <v>2</v>
      </c>
      <c r="B10" s="3" t="s">
        <v>11</v>
      </c>
      <c r="C10" s="3" t="s">
        <v>8</v>
      </c>
      <c r="E10" s="7" t="s">
        <v>9</v>
      </c>
      <c r="F10" s="7">
        <f>COUNTIF(Table461115[Privacy],Table281317[[#This Row],[Privacy policy]])</f>
        <v>2</v>
      </c>
      <c r="G10" s="7">
        <f>Table281317[[#This Row],[Votes]]/20*100</f>
        <v>10</v>
      </c>
    </row>
    <row r="11" spans="1:12" ht="18.75" x14ac:dyDescent="0.3">
      <c r="A11" s="3">
        <v>3</v>
      </c>
      <c r="B11" s="3" t="s">
        <v>12</v>
      </c>
      <c r="C11" s="3" t="s">
        <v>8</v>
      </c>
      <c r="E11" s="7" t="s">
        <v>35</v>
      </c>
      <c r="F11" s="7">
        <f>COUNTIF(Table461115[Privacy],Table281317[[#This Row],[Privacy policy]])</f>
        <v>5</v>
      </c>
      <c r="G11" s="7">
        <f>Table281317[[#This Row],[Votes]]/20*100</f>
        <v>25</v>
      </c>
    </row>
    <row r="12" spans="1:12" ht="18.75" x14ac:dyDescent="0.3">
      <c r="A12" s="3">
        <v>4</v>
      </c>
      <c r="B12" s="3" t="s">
        <v>13</v>
      </c>
      <c r="C12" s="3" t="s">
        <v>8</v>
      </c>
    </row>
    <row r="13" spans="1:12" ht="18.75" x14ac:dyDescent="0.3">
      <c r="A13" s="3">
        <v>5</v>
      </c>
      <c r="B13" s="3" t="s">
        <v>14</v>
      </c>
      <c r="C13" s="3" t="s">
        <v>8</v>
      </c>
      <c r="E13" s="9" t="s">
        <v>51</v>
      </c>
      <c r="L13" s="9" t="s">
        <v>52</v>
      </c>
    </row>
    <row r="14" spans="1:12" ht="18.75" x14ac:dyDescent="0.3">
      <c r="A14" s="3">
        <v>6</v>
      </c>
      <c r="B14" s="3" t="s">
        <v>15</v>
      </c>
      <c r="C14" s="3" t="s">
        <v>8</v>
      </c>
    </row>
    <row r="15" spans="1:12" ht="18.75" x14ac:dyDescent="0.3">
      <c r="A15" s="3">
        <v>7</v>
      </c>
      <c r="B15" s="3" t="s">
        <v>16</v>
      </c>
      <c r="C15" s="3" t="s">
        <v>35</v>
      </c>
    </row>
    <row r="16" spans="1:12" ht="18.75" x14ac:dyDescent="0.3">
      <c r="A16" s="3">
        <v>8</v>
      </c>
      <c r="B16" s="3" t="s">
        <v>17</v>
      </c>
      <c r="C16" s="3" t="s">
        <v>35</v>
      </c>
    </row>
    <row r="17" spans="1:5" ht="18.75" x14ac:dyDescent="0.3">
      <c r="A17" s="3">
        <v>9</v>
      </c>
      <c r="B17" s="3" t="s">
        <v>18</v>
      </c>
      <c r="C17" s="3" t="s">
        <v>9</v>
      </c>
    </row>
    <row r="18" spans="1:5" ht="18.75" x14ac:dyDescent="0.3">
      <c r="A18" s="3">
        <v>10</v>
      </c>
      <c r="B18" s="3" t="s">
        <v>19</v>
      </c>
      <c r="C18" s="3" t="s">
        <v>8</v>
      </c>
    </row>
    <row r="19" spans="1:5" ht="18.75" x14ac:dyDescent="0.3">
      <c r="A19" s="3">
        <v>11</v>
      </c>
      <c r="B19" s="3" t="s">
        <v>20</v>
      </c>
      <c r="C19" s="3" t="s">
        <v>8</v>
      </c>
    </row>
    <row r="20" spans="1:5" ht="18.75" x14ac:dyDescent="0.3">
      <c r="A20" s="3">
        <v>12</v>
      </c>
      <c r="B20" s="3" t="s">
        <v>21</v>
      </c>
      <c r="C20" s="3" t="s">
        <v>35</v>
      </c>
    </row>
    <row r="21" spans="1:5" ht="18.75" x14ac:dyDescent="0.3">
      <c r="A21" s="3">
        <v>13</v>
      </c>
      <c r="B21" s="3" t="s">
        <v>22</v>
      </c>
      <c r="C21" s="3" t="s">
        <v>9</v>
      </c>
    </row>
    <row r="22" spans="1:5" ht="18.75" x14ac:dyDescent="0.3">
      <c r="A22" s="3">
        <v>14</v>
      </c>
      <c r="B22" s="3" t="s">
        <v>23</v>
      </c>
      <c r="C22" s="3" t="s">
        <v>8</v>
      </c>
    </row>
    <row r="23" spans="1:5" ht="18.75" x14ac:dyDescent="0.3">
      <c r="A23" s="3">
        <v>15</v>
      </c>
      <c r="B23" s="3" t="s">
        <v>24</v>
      </c>
      <c r="C23" s="3" t="s">
        <v>8</v>
      </c>
    </row>
    <row r="24" spans="1:5" ht="18.75" x14ac:dyDescent="0.3">
      <c r="A24" s="3">
        <v>16</v>
      </c>
      <c r="B24" s="3" t="s">
        <v>25</v>
      </c>
      <c r="C24" s="3" t="s">
        <v>8</v>
      </c>
    </row>
    <row r="25" spans="1:5" ht="18.75" x14ac:dyDescent="0.3">
      <c r="A25" s="3">
        <v>17</v>
      </c>
      <c r="B25" s="3" t="s">
        <v>26</v>
      </c>
      <c r="C25" s="3" t="s">
        <v>8</v>
      </c>
    </row>
    <row r="26" spans="1:5" ht="18.75" x14ac:dyDescent="0.3">
      <c r="A26" s="3">
        <v>18</v>
      </c>
      <c r="B26" s="3" t="s">
        <v>27</v>
      </c>
      <c r="C26" s="3" t="s">
        <v>35</v>
      </c>
      <c r="E26" s="9" t="s">
        <v>48</v>
      </c>
    </row>
    <row r="27" spans="1:5" ht="18.75" x14ac:dyDescent="0.3">
      <c r="A27" s="3">
        <v>19</v>
      </c>
      <c r="B27" s="3" t="s">
        <v>28</v>
      </c>
      <c r="C27" s="3" t="s">
        <v>8</v>
      </c>
      <c r="E27" t="s">
        <v>64</v>
      </c>
    </row>
    <row r="28" spans="1:5" ht="18.75" x14ac:dyDescent="0.3">
      <c r="A28" s="3">
        <v>20</v>
      </c>
      <c r="B28" s="3" t="s">
        <v>29</v>
      </c>
      <c r="C28" s="3" t="s">
        <v>8</v>
      </c>
      <c r="E28" t="s">
        <v>65</v>
      </c>
    </row>
    <row r="29" spans="1:5" x14ac:dyDescent="0.25">
      <c r="E29" t="s">
        <v>66</v>
      </c>
    </row>
  </sheetData>
  <mergeCells count="1">
    <mergeCell ref="A1:C1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1.Privacy</vt:lpstr>
      <vt:lpstr>2.Spam</vt:lpstr>
      <vt:lpstr>3.Information privacy</vt:lpstr>
      <vt:lpstr>4.Cookies</vt:lpstr>
      <vt:lpstr>5.Privacy policy</vt:lpstr>
    </vt:vector>
  </TitlesOfParts>
  <Company>North-West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2017-05-11T10:45:41Z</dcterms:created>
  <dcterms:modified xsi:type="dcterms:W3CDTF">2017-05-15T14:17:44Z</dcterms:modified>
</cp:coreProperties>
</file>