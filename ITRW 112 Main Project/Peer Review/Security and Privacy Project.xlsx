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 \ITRW\ITRW\Projek\"/>
    </mc:Choice>
  </mc:AlternateContent>
  <bookViews>
    <workbookView xWindow="0" yWindow="0" windowWidth="20400" windowHeight="7620" activeTab="6"/>
  </bookViews>
  <sheets>
    <sheet name="Sheet1" sheetId="1" r:id="rId1"/>
    <sheet name="Chart Question 1" sheetId="2" r:id="rId2"/>
    <sheet name="Chart Question 2" sheetId="3" r:id="rId3"/>
    <sheet name="Chart Question 3" sheetId="4" r:id="rId4"/>
    <sheet name="Chart Question 4" sheetId="5" r:id="rId5"/>
    <sheet name="Chart Question 5" sheetId="6" r:id="rId6"/>
    <sheet name="Questionnaire" sheetId="7" r:id="rId7"/>
  </sheets>
  <definedNames>
    <definedName name="_AMO_UniqueIdentifier" hidden="1">"'acc9a843-60ae-4292-bdcf-bbc7f003b5fd'"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N14" i="1" s="1"/>
  <c r="M15" i="1"/>
  <c r="N15" i="1" s="1"/>
  <c r="M16" i="1"/>
  <c r="N16" i="1" s="1"/>
  <c r="M8" i="1"/>
  <c r="N8" i="1" s="1"/>
  <c r="M9" i="1"/>
  <c r="N9" i="1" s="1"/>
  <c r="M10" i="1"/>
  <c r="N10" i="1" s="1"/>
  <c r="I20" i="1"/>
  <c r="J20" i="1" s="1"/>
  <c r="I21" i="1"/>
  <c r="J21" i="1" s="1"/>
  <c r="I22" i="1"/>
  <c r="J22" i="1" s="1"/>
  <c r="I14" i="1"/>
  <c r="J14" i="1" s="1"/>
  <c r="I15" i="1"/>
  <c r="J15" i="1" s="1"/>
  <c r="I16" i="1"/>
  <c r="J16" i="1" s="1"/>
  <c r="I8" i="1"/>
  <c r="J8" i="1" s="1"/>
  <c r="I9" i="1"/>
  <c r="J9" i="1" s="1"/>
</calcChain>
</file>

<file path=xl/sharedStrings.xml><?xml version="1.0" encoding="utf-8"?>
<sst xmlns="http://schemas.openxmlformats.org/spreadsheetml/2006/main" count="159" uniqueCount="34">
  <si>
    <t>Hypothesis:</t>
  </si>
  <si>
    <t>Candidate</t>
  </si>
  <si>
    <t>Yes</t>
  </si>
  <si>
    <t>Bad</t>
  </si>
  <si>
    <t>No</t>
  </si>
  <si>
    <t>I don't know</t>
  </si>
  <si>
    <t>I don't Know</t>
  </si>
  <si>
    <t>Good</t>
  </si>
  <si>
    <r>
      <rPr>
        <b/>
        <sz val="14"/>
        <color theme="1"/>
        <rFont val="Arial"/>
        <family val="2"/>
      </rPr>
      <t>1.</t>
    </r>
    <r>
      <rPr>
        <sz val="10"/>
        <color theme="1"/>
        <rFont val="Arial"/>
        <family val="2"/>
      </rPr>
      <t xml:space="preserve"> Have you heard of the term "hacker"?</t>
    </r>
  </si>
  <si>
    <r>
      <rPr>
        <b/>
        <sz val="14"/>
        <color theme="1"/>
        <rFont val="Arial"/>
        <family val="2"/>
      </rPr>
      <t>2.</t>
    </r>
    <r>
      <rPr>
        <sz val="10"/>
        <color theme="1"/>
        <rFont val="Arial"/>
        <family val="2"/>
      </rPr>
      <t xml:space="preserve"> Is "hacking" good or bad?</t>
    </r>
  </si>
  <si>
    <r>
      <rPr>
        <b/>
        <sz val="14"/>
        <color theme="1"/>
        <rFont val="Arial"/>
        <family val="2"/>
      </rPr>
      <t>3.</t>
    </r>
    <r>
      <rPr>
        <sz val="10"/>
        <color theme="1"/>
        <rFont val="Arial"/>
        <family val="2"/>
      </rPr>
      <t xml:space="preserve"> Have you ever been a victim of hacking or cyber-terrorism?</t>
    </r>
  </si>
  <si>
    <r>
      <rPr>
        <b/>
        <sz val="14"/>
        <color theme="1"/>
        <rFont val="Arial"/>
        <family val="2"/>
      </rPr>
      <t>4.</t>
    </r>
    <r>
      <rPr>
        <sz val="10"/>
        <color theme="1"/>
        <rFont val="Arial"/>
        <family val="2"/>
      </rPr>
      <t xml:space="preserve"> Is your computer and personal files and documents password protected?</t>
    </r>
  </si>
  <si>
    <r>
      <rPr>
        <b/>
        <sz val="14"/>
        <color theme="1"/>
        <rFont val="Arial"/>
        <family val="2"/>
      </rPr>
      <t>5.</t>
    </r>
    <r>
      <rPr>
        <sz val="10"/>
        <color theme="1"/>
        <rFont val="Arial"/>
        <family val="2"/>
      </rPr>
      <t xml:space="preserve"> Is your access system hard to hack?</t>
    </r>
  </si>
  <si>
    <t>Percentage</t>
  </si>
  <si>
    <t>Vote</t>
  </si>
  <si>
    <t>Question 1</t>
  </si>
  <si>
    <t>Question 2</t>
  </si>
  <si>
    <t>Question 3</t>
  </si>
  <si>
    <t>Question 4</t>
  </si>
  <si>
    <t>Question 5</t>
  </si>
  <si>
    <t>Good / Bad / I don't know</t>
  </si>
  <si>
    <t>Yes / No</t>
  </si>
  <si>
    <t>Yes / No / I don't know</t>
  </si>
  <si>
    <t>Column Chart</t>
  </si>
  <si>
    <t>Pie chart</t>
  </si>
  <si>
    <t>Pie Chart</t>
  </si>
  <si>
    <t>Findings:</t>
  </si>
  <si>
    <t>The hypothesis was wrong because only 35% of the people was hacked when 70% of the people's computers are password protected and hard to access.</t>
  </si>
  <si>
    <t xml:space="preserve">have they been a victim of hacking or cyber-terrorism and are their computers password protected and hard to access. </t>
  </si>
  <si>
    <t>These results will be found in the charts.</t>
  </si>
  <si>
    <t>Unauthorized access and use</t>
  </si>
  <si>
    <t>Unauthorized access and use is easy to commit.</t>
  </si>
  <si>
    <t xml:space="preserve">This research consisted of questions containing people's knowledge of the term "hacker", whether it is good or bad, </t>
  </si>
  <si>
    <t>Therefore it is not easy for just anybody to access a password protected system without the proper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</si>
</sst>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9" fontId="7" fillId="0" borderId="0" applyFont="0" applyFill="0" applyBorder="0" applyAlignment="0" applyProtection="0"/>
    <xf numFmtId="0" fontId="8" fillId="0" borderId="13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3" fillId="0" borderId="1" xfId="1" applyFont="1" applyAlignment="1"/>
    <xf numFmtId="0" fontId="4" fillId="0" borderId="0" xfId="0" applyFont="1"/>
    <xf numFmtId="0" fontId="5" fillId="0" borderId="3" xfId="0" applyFont="1" applyBorder="1" applyAlignment="1">
      <alignment horizontal="center" wrapText="1"/>
    </xf>
    <xf numFmtId="0" fontId="5" fillId="0" borderId="4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9" fontId="0" fillId="0" borderId="0" xfId="3" applyFont="1"/>
    <xf numFmtId="0" fontId="0" fillId="0" borderId="0" xfId="0" applyNumberFormat="1"/>
    <xf numFmtId="0" fontId="9" fillId="0" borderId="0" xfId="0" applyFont="1" applyAlignment="1">
      <alignment horizontal="center"/>
    </xf>
    <xf numFmtId="0" fontId="0" fillId="0" borderId="0" xfId="0" applyAlignment="1"/>
    <xf numFmtId="0" fontId="10" fillId="0" borderId="13" xfId="4" applyFont="1" applyAlignment="1">
      <alignment horizontal="center"/>
    </xf>
    <xf numFmtId="0" fontId="10" fillId="0" borderId="2" xfId="2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5">
    <cellStyle name="Heading 1" xfId="1" builtinId="16"/>
    <cellStyle name="Heading 2" xfId="2" builtinId="17"/>
    <cellStyle name="Heading 3" xfId="4" builtinId="18"/>
    <cellStyle name="Normal" xfId="0" builtinId="0"/>
    <cellStyle name="Percent" xfId="3" builtinId="5"/>
  </cellStyles>
  <dxfs count="25"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3" formatCode="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Amount of people who have heard of the term "hacker"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Sheet1!$I$7</c:f>
              <c:strCache>
                <c:ptCount val="1"/>
                <c:pt idx="0">
                  <c:v>Vote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024-4D7E-957A-80016AAFFC8F}"/>
              </c:ext>
            </c:extLst>
          </c:dPt>
          <c:cat>
            <c:strRef>
              <c:f>Sheet1!$H$8:$H$9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Sheet1!$I$8:$I$9</c:f>
              <c:numCache>
                <c:formatCode>General</c:formatCode>
                <c:ptCount val="2"/>
                <c:pt idx="0">
                  <c:v>13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4-4D7E-957A-80016AAFF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699427936"/>
        <c:axId val="699428264"/>
        <c:axId val="0"/>
      </c:bar3DChart>
      <c:catAx>
        <c:axId val="6994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8264"/>
        <c:crosses val="autoZero"/>
        <c:auto val="1"/>
        <c:lblAlgn val="ctr"/>
        <c:lblOffset val="100"/>
        <c:noMultiLvlLbl val="0"/>
      </c:catAx>
      <c:valAx>
        <c:axId val="69942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Sheet1!$J$7</c:f>
              <c:strCache>
                <c:ptCount val="1"/>
                <c:pt idx="0">
                  <c:v>Percentage</c:v>
                </c:pt>
              </c:strCache>
            </c:strRef>
          </c:tx>
          <c:explosion val="10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FB8-4F7D-9E2B-AA45EAF692AE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FB8-4F7D-9E2B-AA45EAF692A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Sheet1!$H$8:$H$9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Sheet1!$J$8:$J$9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B8-4F7D-9E2B-AA45EAF692A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 hacking good or bad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Sheet1!$I$13</c:f>
              <c:strCache>
                <c:ptCount val="1"/>
                <c:pt idx="0">
                  <c:v>Vote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0A4-4B79-86B4-72ABAD8AC1D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A4-4B79-86B4-72ABAD8AC1D0}"/>
              </c:ext>
            </c:extLst>
          </c:dPt>
          <c:cat>
            <c:strRef>
              <c:f>Sheet1!$H$14:$H$16</c:f>
              <c:strCache>
                <c:ptCount val="3"/>
                <c:pt idx="0">
                  <c:v>Good</c:v>
                </c:pt>
                <c:pt idx="1">
                  <c:v>Bad</c:v>
                </c:pt>
                <c:pt idx="2">
                  <c:v>I don't know</c:v>
                </c:pt>
              </c:strCache>
            </c:strRef>
          </c:cat>
          <c:val>
            <c:numRef>
              <c:f>Sheet1!$I$14:$I$16</c:f>
              <c:numCache>
                <c:formatCode>General</c:formatCode>
                <c:ptCount val="3"/>
                <c:pt idx="0">
                  <c:v>3</c:v>
                </c:pt>
                <c:pt idx="1">
                  <c:v>10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4-4B79-86B4-72ABAD8AC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3989624"/>
        <c:axId val="763989952"/>
        <c:axId val="0"/>
      </c:bar3DChart>
      <c:catAx>
        <c:axId val="76398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89952"/>
        <c:crosses val="autoZero"/>
        <c:auto val="1"/>
        <c:lblAlgn val="ctr"/>
        <c:lblOffset val="100"/>
        <c:noMultiLvlLbl val="0"/>
      </c:catAx>
      <c:valAx>
        <c:axId val="7639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98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Percentages of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3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Sheet1!$J$13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CCF-455C-B259-14DAD2C729D8}"/>
              </c:ext>
            </c:extLst>
          </c:dPt>
          <c:dPt>
            <c:idx val="1"/>
            <c:bubble3D val="0"/>
            <c:explosion val="1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CCF-455C-B259-14DAD2C729D8}"/>
              </c:ext>
            </c:extLst>
          </c:dPt>
          <c:dPt>
            <c:idx val="2"/>
            <c:bubble3D val="0"/>
            <c:explosion val="10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CCF-455C-B259-14DAD2C729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Sheet1!$H$14:$H$16</c:f>
              <c:strCache>
                <c:ptCount val="3"/>
                <c:pt idx="0">
                  <c:v>Good</c:v>
                </c:pt>
                <c:pt idx="1">
                  <c:v>Bad</c:v>
                </c:pt>
                <c:pt idx="2">
                  <c:v>I don't know</c:v>
                </c:pt>
              </c:strCache>
            </c:strRef>
          </c:cat>
          <c:val>
            <c:numRef>
              <c:f>Sheet1!$J$14:$J$16</c:f>
              <c:numCache>
                <c:formatCode>0%</c:formatCode>
                <c:ptCount val="3"/>
                <c:pt idx="0">
                  <c:v>0.15</c:v>
                </c:pt>
                <c:pt idx="1">
                  <c:v>0.5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F-455C-B259-14DAD2C729D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Victims of hacking or cyber-terrorism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9550291033557128E-2"/>
          <c:y val="0.10325962944668816"/>
          <c:w val="0.87936934180952209"/>
          <c:h val="0.7833987080028280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Sheet1!$I$19</c:f>
              <c:strCache>
                <c:ptCount val="1"/>
                <c:pt idx="0">
                  <c:v>Vote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C0000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0C8-437A-99E5-66BCA7ED0323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0C8-437A-99E5-66BCA7ED032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0C8-437A-99E5-66BCA7ED0323}"/>
              </c:ext>
            </c:extLst>
          </c:dPt>
          <c:cat>
            <c:strRef>
              <c:f>Sheet1!$H$20:$H$22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Sheet1!$I$20:$I$22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8-437A-99E5-66BCA7ED0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8193416"/>
        <c:axId val="768191776"/>
        <c:axId val="0"/>
      </c:bar3DChart>
      <c:catAx>
        <c:axId val="76819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91776"/>
        <c:crosses val="autoZero"/>
        <c:auto val="1"/>
        <c:lblAlgn val="ctr"/>
        <c:lblOffset val="100"/>
        <c:noMultiLvlLbl val="0"/>
      </c:catAx>
      <c:valAx>
        <c:axId val="768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9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votes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Sheet1!$J$19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EF6-40E3-B13E-0898DEBCD67A}"/>
              </c:ext>
            </c:extLst>
          </c:dPt>
          <c:dPt>
            <c:idx val="1"/>
            <c:bubble3D val="0"/>
            <c:explosion val="1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EF6-40E3-B13E-0898DEBCD67A}"/>
              </c:ext>
            </c:extLst>
          </c:dPt>
          <c:dPt>
            <c:idx val="2"/>
            <c:bubble3D val="0"/>
            <c:explosion val="10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EF6-40E3-B13E-0898DEBCD6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Sheet1!$H$20:$H$22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Sheet1!$J$20:$J$22</c:f>
              <c:numCache>
                <c:formatCode>0%</c:formatCode>
                <c:ptCount val="3"/>
                <c:pt idx="0">
                  <c:v>0.35</c:v>
                </c:pt>
                <c:pt idx="1">
                  <c:v>0.35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F6-40E3-B13E-0898DEBCD6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 your computer password protected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074720300303683E-2"/>
          <c:y val="0.11407273507154018"/>
          <c:w val="0.88488260026988141"/>
          <c:h val="0.7715994158317759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Sheet1!$M$7</c:f>
              <c:strCache>
                <c:ptCount val="1"/>
                <c:pt idx="0">
                  <c:v>Vote</c:v>
                </c:pt>
              </c:strCache>
            </c:strRef>
          </c:tx>
          <c:spPr>
            <a:solidFill>
              <a:schemeClr val="bg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C0000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53-4993-9DA5-D3FA928F5C16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53-4993-9DA5-D3FA928F5C16}"/>
              </c:ext>
            </c:extLst>
          </c:dPt>
          <c:cat>
            <c:strRef>
              <c:f>Sheet1!$L$8:$L$10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Sheet1!$M$8:$M$10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3-4993-9DA5-D3FA928F5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7000048"/>
        <c:axId val="708658688"/>
        <c:axId val="0"/>
      </c:bar3DChart>
      <c:catAx>
        <c:axId val="76700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58688"/>
        <c:crosses val="autoZero"/>
        <c:auto val="1"/>
        <c:lblAlgn val="ctr"/>
        <c:lblOffset val="100"/>
        <c:noMultiLvlLbl val="0"/>
      </c:catAx>
      <c:valAx>
        <c:axId val="7086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of votes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0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Sheet1!$N$7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921-4423-AEDF-F49A76429E49}"/>
              </c:ext>
            </c:extLst>
          </c:dPt>
          <c:dPt>
            <c:idx val="1"/>
            <c:bubble3D val="0"/>
            <c:explosion val="1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921-4423-AEDF-F49A76429E49}"/>
              </c:ext>
            </c:extLst>
          </c:dPt>
          <c:dPt>
            <c:idx val="2"/>
            <c:bubble3D val="0"/>
            <c:explosion val="10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921-4423-AEDF-F49A76429E4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Sheet1!$L$8:$L$10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Sheet1!$N$8:$N$10</c:f>
              <c:numCache>
                <c:formatCode>0%</c:formatCode>
                <c:ptCount val="3"/>
                <c:pt idx="0">
                  <c:v>0.7</c:v>
                </c:pt>
                <c:pt idx="1">
                  <c:v>0.25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21-4423-AEDF-F49A76429E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 your access system hard to hack?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Sheet1!$M$13</c:f>
              <c:strCache>
                <c:ptCount val="1"/>
                <c:pt idx="0">
                  <c:v>Vote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89-4FD8-BCAE-4CD37E99D6B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989-4FD8-BCAE-4CD37E99D6B9}"/>
              </c:ext>
            </c:extLst>
          </c:dPt>
          <c:cat>
            <c:strRef>
              <c:f>Sheet1!$L$14:$L$16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Sheet1!$M$14:$M$16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9-4FD8-BCAE-4CD37E99D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69766176"/>
        <c:axId val="769765520"/>
        <c:axId val="0"/>
      </c:bar3DChart>
      <c:catAx>
        <c:axId val="7697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65520"/>
        <c:crosses val="autoZero"/>
        <c:auto val="1"/>
        <c:lblAlgn val="ctr"/>
        <c:lblOffset val="100"/>
        <c:noMultiLvlLbl val="0"/>
      </c:catAx>
      <c:valAx>
        <c:axId val="7697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of votes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6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Sheet1!$N$13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explosion val="1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666-4F7C-BDDE-156A74AF024B}"/>
              </c:ext>
            </c:extLst>
          </c:dPt>
          <c:dPt>
            <c:idx val="1"/>
            <c:bubble3D val="0"/>
            <c:explosion val="1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666-4F7C-BDDE-156A74AF024B}"/>
              </c:ext>
            </c:extLst>
          </c:dPt>
          <c:dPt>
            <c:idx val="2"/>
            <c:bubble3D val="0"/>
            <c:explosion val="10"/>
            <c:spPr>
              <a:solidFill>
                <a:schemeClr val="bg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666-4F7C-BDDE-156A74AF02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Sheet1!$L$14:$L$16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I don't know</c:v>
                </c:pt>
              </c:strCache>
            </c:strRef>
          </c:cat>
          <c:val>
            <c:numRef>
              <c:f>Sheet1!$N$14:$N$16</c:f>
              <c:numCache>
                <c:formatCode>0%</c:formatCode>
                <c:ptCount val="3"/>
                <c:pt idx="0">
                  <c:v>0.5</c:v>
                </c:pt>
                <c:pt idx="1">
                  <c:v>0.1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66-4F7C-BDDE-156A74AF02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0</xdr:rowOff>
    </xdr:from>
    <xdr:to>
      <xdr:col>10</xdr:col>
      <xdr:colOff>533400</xdr:colOff>
      <xdr:row>21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195262</xdr:colOff>
      <xdr:row>2</xdr:row>
      <xdr:rowOff>47625</xdr:rowOff>
    </xdr:from>
    <xdr:to>
      <xdr:col>21</xdr:col>
      <xdr:colOff>19050</xdr:colOff>
      <xdr:row>21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3</xdr:row>
      <xdr:rowOff>66675</xdr:rowOff>
    </xdr:from>
    <xdr:to>
      <xdr:col>9</xdr:col>
      <xdr:colOff>552449</xdr:colOff>
      <xdr:row>26</xdr:row>
      <xdr:rowOff>28575</xdr:rowOff>
    </xdr:to>
    <xdr:graphicFrame macro="">
      <xdr:nvGraphicFramePr>
        <xdr:cNvPr id="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42861</xdr:colOff>
      <xdr:row>3</xdr:row>
      <xdr:rowOff>47624</xdr:rowOff>
    </xdr:from>
    <xdr:to>
      <xdr:col>19</xdr:col>
      <xdr:colOff>561974</xdr:colOff>
      <xdr:row>26</xdr:row>
      <xdr:rowOff>38099</xdr:rowOff>
    </xdr:to>
    <xdr:graphicFrame macro="">
      <xdr:nvGraphicFramePr>
        <xdr:cNvPr id="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52386</xdr:colOff>
      <xdr:row>4</xdr:row>
      <xdr:rowOff>76200</xdr:rowOff>
    </xdr:from>
    <xdr:to>
      <xdr:col>10</xdr:col>
      <xdr:colOff>590549</xdr:colOff>
      <xdr:row>31</xdr:row>
      <xdr:rowOff>95250</xdr:rowOff>
    </xdr:to>
    <xdr:graphicFrame macro="">
      <xdr:nvGraphicFramePr>
        <xdr:cNvPr id="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147636</xdr:colOff>
      <xdr:row>4</xdr:row>
      <xdr:rowOff>47624</xdr:rowOff>
    </xdr:from>
    <xdr:to>
      <xdr:col>20</xdr:col>
      <xdr:colOff>419099</xdr:colOff>
      <xdr:row>26</xdr:row>
      <xdr:rowOff>152399</xdr:rowOff>
    </xdr:to>
    <xdr:graphicFrame macro="">
      <xdr:nvGraphicFramePr>
        <xdr:cNvPr id="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33336</xdr:colOff>
      <xdr:row>4</xdr:row>
      <xdr:rowOff>57150</xdr:rowOff>
    </xdr:from>
    <xdr:to>
      <xdr:col>10</xdr:col>
      <xdr:colOff>609599</xdr:colOff>
      <xdr:row>30</xdr:row>
      <xdr:rowOff>0</xdr:rowOff>
    </xdr:to>
    <xdr:graphicFrame macro="">
      <xdr:nvGraphicFramePr>
        <xdr:cNvPr id="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128586</xdr:colOff>
      <xdr:row>4</xdr:row>
      <xdr:rowOff>85724</xdr:rowOff>
    </xdr:from>
    <xdr:to>
      <xdr:col>21</xdr:col>
      <xdr:colOff>380999</xdr:colOff>
      <xdr:row>26</xdr:row>
      <xdr:rowOff>95249</xdr:rowOff>
    </xdr:to>
    <xdr:graphicFrame macro="">
      <xdr:nvGraphicFramePr>
        <xdr:cNvPr id="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80961</xdr:colOff>
      <xdr:row>5</xdr:row>
      <xdr:rowOff>38099</xdr:rowOff>
    </xdr:from>
    <xdr:to>
      <xdr:col>11</xdr:col>
      <xdr:colOff>28574</xdr:colOff>
      <xdr:row>31</xdr:row>
      <xdr:rowOff>161924</xdr:rowOff>
    </xdr:to>
    <xdr:graphicFrame macro="">
      <xdr:nvGraphicFramePr>
        <xdr:cNvPr id="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52386</xdr:colOff>
      <xdr:row>5</xdr:row>
      <xdr:rowOff>57150</xdr:rowOff>
    </xdr:from>
    <xdr:to>
      <xdr:col>22</xdr:col>
      <xdr:colOff>419099</xdr:colOff>
      <xdr:row>28</xdr:row>
      <xdr:rowOff>57150</xdr:rowOff>
    </xdr:to>
    <xdr:graphicFrame macro="">
      <xdr:nvGraphicFramePr>
        <xdr:cNvPr id="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7</xdr:col>
      <xdr:colOff>412750</xdr:colOff>
      <xdr:row>24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rcRect l="33592" t="8273" r="35520" b="29388"/>
        <a:stretch/>
      </xdr:blipFill>
      <xdr:spPr bwMode="auto">
        <a:xfrm>
          <a:off x="619125" y="0"/>
          <a:ext cx="4060825" cy="45815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28575</xdr:colOff>
      <xdr:row>23</xdr:row>
      <xdr:rowOff>133350</xdr:rowOff>
    </xdr:from>
    <xdr:to>
      <xdr:col>7</xdr:col>
      <xdr:colOff>511810</xdr:colOff>
      <xdr:row>42</xdr:row>
      <xdr:rowOff>57150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34068" t="33977" r="34855" b="18751"/>
        <a:stretch/>
      </xdr:blipFill>
      <xdr:spPr bwMode="auto">
        <a:xfrm>
          <a:off x="638175" y="4514850"/>
          <a:ext cx="4140835" cy="35433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Table2" displayName="Table2" ref="H7:J9" totalsRowShown="0" headerRowDxfId="24">
  <autoFilter ref="H7:J9"/>
  <tableColumns count="3">
    <tableColumn id="1" name="Yes / No"/>
    <tableColumn id="2" name="Vote" dataDxfId="23">
      <calculatedColumnFormula>COUNTIF(Table3[1. Have you heard of the term "hacker"?], Table2[[#This Row],[Yes / No]])</calculatedColumnFormula>
    </tableColumn>
    <tableColumn id="3" name="Percentage" dataCellStyle="Percent">
      <calculatedColumnFormula>Table2[[#This Row],[Vote]]/20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6:F26" totalsRowShown="0" headerRowDxfId="22" dataDxfId="20" headerRowBorderDxfId="21" tableBorderDxfId="19" totalsRowBorderDxfId="18">
  <autoFilter ref="A6:F26"/>
  <tableColumns count="6">
    <tableColumn id="1" name="Candidate" dataDxfId="17"/>
    <tableColumn id="2" name="1. Have you heard of the term &quot;hacker&quot;?" dataDxfId="16"/>
    <tableColumn id="3" name="2. Is &quot;hacking&quot; good or bad?" dataDxfId="15"/>
    <tableColumn id="4" name="3. Have you ever been a victim of hacking or cyber-terrorism?" dataDxfId="14"/>
    <tableColumn id="5" name="4. Is your computer and personal files and documents password protected?" dataDxfId="13"/>
    <tableColumn id="6" name="5. Is your access system hard to hack?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22" displayName="Table22" ref="H13:J16" totalsRowShown="0" headerRowDxfId="11">
  <autoFilter ref="H13:J16"/>
  <tableColumns count="3">
    <tableColumn id="1" name="Good / Bad / I don't know"/>
    <tableColumn id="2" name="Vote" dataDxfId="10">
      <calculatedColumnFormula>COUNTIF(Table3[2. Is "hacking" good or bad?], Table22[[#This Row],[Good / Bad / I don''t know]])</calculatedColumnFormula>
    </tableColumn>
    <tableColumn id="3" name="Percentage" dataDxfId="9" dataCellStyle="Percent">
      <calculatedColumnFormula>Table22[[#This Row],[Vote]]/20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H19:J22" totalsRowShown="0" headerRowDxfId="8">
  <autoFilter ref="H19:J22"/>
  <tableColumns count="3">
    <tableColumn id="1" name="Yes / No / I don't know"/>
    <tableColumn id="2" name="Vote" dataDxfId="7">
      <calculatedColumnFormula>COUNTIF(Table3[3. Have you ever been a victim of hacking or cyber-terrorism?], Table25[[#This Row],[Yes / No / I don''t know]])</calculatedColumnFormula>
    </tableColumn>
    <tableColumn id="3" name="Percentage" dataDxfId="6" dataCellStyle="Percent">
      <calculatedColumnFormula>Table25[[#This Row],[Vote]]/20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26" displayName="Table26" ref="L7:N10" totalsRowShown="0" headerRowDxfId="5">
  <autoFilter ref="L7:N10"/>
  <tableColumns count="3">
    <tableColumn id="1" name="Yes / No / I don't know"/>
    <tableColumn id="2" name="Vote" dataDxfId="4">
      <calculatedColumnFormula>COUNTIF(Table3[4. Is your computer and personal files and documents password protected?], Table26[[#This Row],[Yes / No / I don''t know]])</calculatedColumnFormula>
    </tableColumn>
    <tableColumn id="3" name="Percentage" dataDxfId="3" dataCellStyle="Percent">
      <calculatedColumnFormula>Table26[[#This Row],[Vote]]/20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27" displayName="Table27" ref="L13:N16" totalsRowShown="0" headerRowDxfId="2">
  <autoFilter ref="L13:N16"/>
  <tableColumns count="3">
    <tableColumn id="1" name="Yes / No / I don't know"/>
    <tableColumn id="2" name="Vote" dataDxfId="1">
      <calculatedColumnFormula>COUNTIF(Table3[5. Is your access system hard to hack?], Table27[[#This Row],[Yes / No / I don''t know]])</calculatedColumnFormula>
    </tableColumn>
    <tableColumn id="3" name="Percentage" dataDxfId="0" dataCellStyle="Percent">
      <calculatedColumnFormula>Table27[[#This Row],[Vote]]/20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5" workbookViewId="0">
      <selection activeCell="H6" sqref="H6:J6"/>
    </sheetView>
  </sheetViews>
  <sheetFormatPr defaultRowHeight="15" x14ac:dyDescent="0.25"/>
  <cols>
    <col min="1" max="1" width="11.42578125" customWidth="1"/>
    <col min="2" max="2" width="22.140625" customWidth="1"/>
    <col min="3" max="3" width="26.42578125" customWidth="1"/>
    <col min="4" max="4" width="29.7109375" customWidth="1"/>
    <col min="5" max="5" width="37" customWidth="1"/>
    <col min="6" max="6" width="24.28515625" customWidth="1"/>
    <col min="7" max="7" width="1.7109375" customWidth="1"/>
    <col min="8" max="8" width="15.140625" bestFit="1" customWidth="1"/>
    <col min="10" max="10" width="12.5703125" customWidth="1"/>
    <col min="11" max="11" width="2.42578125" customWidth="1"/>
    <col min="12" max="12" width="15.42578125" bestFit="1" customWidth="1"/>
    <col min="14" max="14" width="13.7109375" bestFit="1" customWidth="1"/>
  </cols>
  <sheetData>
    <row r="1" spans="1:14" ht="27" thickBot="1" x14ac:dyDescent="0.45">
      <c r="A1" s="2" t="s">
        <v>30</v>
      </c>
      <c r="B1" s="2"/>
      <c r="C1" s="2"/>
      <c r="D1" s="2"/>
      <c r="E1" s="1"/>
    </row>
    <row r="2" spans="1:14" ht="15.75" thickTop="1" x14ac:dyDescent="0.25"/>
    <row r="3" spans="1:14" ht="21.75" thickBot="1" x14ac:dyDescent="0.4">
      <c r="A3" s="19" t="s">
        <v>0</v>
      </c>
      <c r="B3" s="19"/>
    </row>
    <row r="4" spans="1:14" ht="16.5" thickTop="1" x14ac:dyDescent="0.25">
      <c r="A4" s="3" t="s">
        <v>31</v>
      </c>
      <c r="B4" s="3"/>
      <c r="C4" s="3"/>
      <c r="D4" s="3"/>
      <c r="E4" s="3"/>
      <c r="F4" s="3"/>
      <c r="G4" s="3"/>
    </row>
    <row r="6" spans="1:14" ht="30" customHeight="1" thickBot="1" x14ac:dyDescent="0.3">
      <c r="A6" s="8" t="s">
        <v>1</v>
      </c>
      <c r="B6" s="9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H6" s="20" t="s">
        <v>15</v>
      </c>
      <c r="I6" s="20"/>
      <c r="J6" s="20"/>
      <c r="L6" s="20" t="s">
        <v>18</v>
      </c>
      <c r="M6" s="20"/>
      <c r="N6" s="20"/>
    </row>
    <row r="7" spans="1:14" ht="27" thickBot="1" x14ac:dyDescent="0.3">
      <c r="A7" s="6">
        <v>1</v>
      </c>
      <c r="B7" s="4" t="s">
        <v>2</v>
      </c>
      <c r="C7" s="4" t="s">
        <v>3</v>
      </c>
      <c r="D7" s="4" t="s">
        <v>4</v>
      </c>
      <c r="E7" s="4" t="s">
        <v>2</v>
      </c>
      <c r="F7" s="7" t="s">
        <v>2</v>
      </c>
      <c r="H7" s="5" t="s">
        <v>21</v>
      </c>
      <c r="I7" s="5" t="s">
        <v>14</v>
      </c>
      <c r="J7" s="5" t="s">
        <v>13</v>
      </c>
      <c r="L7" s="5" t="s">
        <v>22</v>
      </c>
      <c r="M7" s="5" t="s">
        <v>14</v>
      </c>
      <c r="N7" s="5" t="s">
        <v>13</v>
      </c>
    </row>
    <row r="8" spans="1:14" ht="15.75" thickBot="1" x14ac:dyDescent="0.3">
      <c r="A8" s="6">
        <v>2</v>
      </c>
      <c r="B8" s="4" t="s">
        <v>4</v>
      </c>
      <c r="C8" s="4" t="s">
        <v>5</v>
      </c>
      <c r="D8" s="4" t="s">
        <v>4</v>
      </c>
      <c r="E8" s="4" t="s">
        <v>2</v>
      </c>
      <c r="F8" s="7" t="s">
        <v>2</v>
      </c>
      <c r="H8" t="s">
        <v>2</v>
      </c>
      <c r="I8">
        <f>COUNTIF(Table3[1. Have you heard of the term "hacker"?], Table2[[#This Row],[Yes / No]])</f>
        <v>13</v>
      </c>
      <c r="J8" s="14">
        <f>Table2[[#This Row],[Vote]]/20</f>
        <v>0.65</v>
      </c>
      <c r="L8" t="s">
        <v>2</v>
      </c>
      <c r="M8">
        <f>COUNTIF(Table3[4. Is your computer and personal files and documents password protected?], Table26[[#This Row],[Yes / No / I don''t know]])</f>
        <v>14</v>
      </c>
      <c r="N8" s="14">
        <f>Table26[[#This Row],[Vote]]/20</f>
        <v>0.7</v>
      </c>
    </row>
    <row r="9" spans="1:14" ht="15.75" thickBot="1" x14ac:dyDescent="0.3">
      <c r="A9" s="6">
        <v>3</v>
      </c>
      <c r="B9" s="4" t="s">
        <v>2</v>
      </c>
      <c r="C9" s="4" t="s">
        <v>3</v>
      </c>
      <c r="D9" s="4" t="s">
        <v>2</v>
      </c>
      <c r="E9" s="4" t="s">
        <v>2</v>
      </c>
      <c r="F9" s="7" t="s">
        <v>6</v>
      </c>
      <c r="H9" t="s">
        <v>4</v>
      </c>
      <c r="I9">
        <f>COUNTIF(Table3[1. Have you heard of the term "hacker"?], Table2[[#This Row],[Yes / No]])</f>
        <v>7</v>
      </c>
      <c r="J9" s="14">
        <f>Table2[[#This Row],[Vote]]/20</f>
        <v>0.35</v>
      </c>
      <c r="L9" t="s">
        <v>4</v>
      </c>
      <c r="M9">
        <f>COUNTIF(Table3[4. Is your computer and personal files and documents password protected?], Table26[[#This Row],[Yes / No / I don''t know]])</f>
        <v>5</v>
      </c>
      <c r="N9" s="14">
        <f>Table26[[#This Row],[Vote]]/20</f>
        <v>0.25</v>
      </c>
    </row>
    <row r="10" spans="1:14" ht="15.75" thickBot="1" x14ac:dyDescent="0.3">
      <c r="A10" s="6">
        <v>4</v>
      </c>
      <c r="B10" s="4" t="s">
        <v>4</v>
      </c>
      <c r="C10" s="4" t="s">
        <v>5</v>
      </c>
      <c r="D10" s="4" t="s">
        <v>5</v>
      </c>
      <c r="E10" s="4" t="s">
        <v>5</v>
      </c>
      <c r="F10" s="7" t="s">
        <v>6</v>
      </c>
      <c r="L10" t="s">
        <v>5</v>
      </c>
      <c r="M10" s="15">
        <f>COUNTIF(Table3[4. Is your computer and personal files and documents password protected?], Table26[[#This Row],[Yes / No / I don''t know]])</f>
        <v>1</v>
      </c>
      <c r="N10" s="14">
        <f>Table26[[#This Row],[Vote]]/20</f>
        <v>0.05</v>
      </c>
    </row>
    <row r="11" spans="1:14" ht="15.75" thickBot="1" x14ac:dyDescent="0.3">
      <c r="A11" s="6">
        <v>5</v>
      </c>
      <c r="B11" s="4" t="s">
        <v>2</v>
      </c>
      <c r="C11" s="4" t="s">
        <v>3</v>
      </c>
      <c r="D11" s="4" t="s">
        <v>2</v>
      </c>
      <c r="E11" s="4" t="s">
        <v>2</v>
      </c>
      <c r="F11" s="7" t="s">
        <v>2</v>
      </c>
    </row>
    <row r="12" spans="1:14" ht="15.75" thickBot="1" x14ac:dyDescent="0.3">
      <c r="A12" s="6">
        <v>6</v>
      </c>
      <c r="B12" s="4" t="s">
        <v>4</v>
      </c>
      <c r="C12" s="4" t="s">
        <v>7</v>
      </c>
      <c r="D12" s="4" t="s">
        <v>4</v>
      </c>
      <c r="E12" s="4" t="s">
        <v>2</v>
      </c>
      <c r="F12" s="7" t="s">
        <v>4</v>
      </c>
      <c r="H12" s="20" t="s">
        <v>16</v>
      </c>
      <c r="I12" s="20"/>
      <c r="J12" s="20"/>
      <c r="L12" s="20" t="s">
        <v>19</v>
      </c>
      <c r="M12" s="20"/>
      <c r="N12" s="20"/>
    </row>
    <row r="13" spans="1:14" ht="27" thickBot="1" x14ac:dyDescent="0.3">
      <c r="A13" s="6">
        <v>7</v>
      </c>
      <c r="B13" s="4" t="s">
        <v>2</v>
      </c>
      <c r="C13" s="4" t="s">
        <v>3</v>
      </c>
      <c r="D13" s="4" t="s">
        <v>4</v>
      </c>
      <c r="E13" s="4" t="s">
        <v>2</v>
      </c>
      <c r="F13" s="7" t="s">
        <v>6</v>
      </c>
      <c r="H13" s="5" t="s">
        <v>20</v>
      </c>
      <c r="I13" s="5" t="s">
        <v>14</v>
      </c>
      <c r="J13" s="5" t="s">
        <v>13</v>
      </c>
      <c r="L13" s="5" t="s">
        <v>22</v>
      </c>
      <c r="M13" s="5" t="s">
        <v>14</v>
      </c>
      <c r="N13" s="5" t="s">
        <v>13</v>
      </c>
    </row>
    <row r="14" spans="1:14" ht="15.75" thickBot="1" x14ac:dyDescent="0.3">
      <c r="A14" s="6">
        <v>8</v>
      </c>
      <c r="B14" s="4" t="s">
        <v>4</v>
      </c>
      <c r="C14" s="4" t="s">
        <v>7</v>
      </c>
      <c r="D14" s="4" t="s">
        <v>5</v>
      </c>
      <c r="E14" s="4" t="s">
        <v>4</v>
      </c>
      <c r="F14" s="7" t="s">
        <v>6</v>
      </c>
      <c r="H14" t="s">
        <v>7</v>
      </c>
      <c r="I14">
        <f>COUNTIF(Table3[2. Is "hacking" good or bad?], Table22[[#This Row],[Good / Bad / I don''t know]])</f>
        <v>3</v>
      </c>
      <c r="J14" s="14">
        <f>Table22[[#This Row],[Vote]]/20</f>
        <v>0.15</v>
      </c>
      <c r="L14" t="s">
        <v>2</v>
      </c>
      <c r="M14">
        <f>COUNTIF(Table3[5. Is your access system hard to hack?], Table27[[#This Row],[Yes / No / I don''t know]])</f>
        <v>10</v>
      </c>
      <c r="N14" s="14">
        <f>Table27[[#This Row],[Vote]]/20</f>
        <v>0.5</v>
      </c>
    </row>
    <row r="15" spans="1:14" ht="15.75" thickBot="1" x14ac:dyDescent="0.3">
      <c r="A15" s="6">
        <v>9</v>
      </c>
      <c r="B15" s="4" t="s">
        <v>2</v>
      </c>
      <c r="C15" s="4" t="s">
        <v>7</v>
      </c>
      <c r="D15" s="4" t="s">
        <v>2</v>
      </c>
      <c r="E15" s="4" t="s">
        <v>4</v>
      </c>
      <c r="F15" s="7" t="s">
        <v>4</v>
      </c>
      <c r="H15" t="s">
        <v>3</v>
      </c>
      <c r="I15">
        <f>COUNTIF(Table3[2. Is "hacking" good or bad?], Table22[[#This Row],[Good / Bad / I don''t know]])</f>
        <v>10</v>
      </c>
      <c r="J15" s="14">
        <f>Table22[[#This Row],[Vote]]/20</f>
        <v>0.5</v>
      </c>
      <c r="L15" t="s">
        <v>4</v>
      </c>
      <c r="M15">
        <f>COUNTIF(Table3[5. Is your access system hard to hack?], Table27[[#This Row],[Yes / No / I don''t know]])</f>
        <v>2</v>
      </c>
      <c r="N15" s="14">
        <f>Table27[[#This Row],[Vote]]/20</f>
        <v>0.1</v>
      </c>
    </row>
    <row r="16" spans="1:14" ht="15.75" thickBot="1" x14ac:dyDescent="0.3">
      <c r="A16" s="6">
        <v>10</v>
      </c>
      <c r="B16" s="4" t="s">
        <v>2</v>
      </c>
      <c r="C16" s="4" t="s">
        <v>3</v>
      </c>
      <c r="D16" s="4" t="s">
        <v>2</v>
      </c>
      <c r="E16" s="4" t="s">
        <v>4</v>
      </c>
      <c r="F16" s="7" t="s">
        <v>6</v>
      </c>
      <c r="H16" t="s">
        <v>5</v>
      </c>
      <c r="I16" s="15">
        <f>COUNTIF(Table3[2. Is "hacking" good or bad?], Table22[[#This Row],[Good / Bad / I don''t know]])</f>
        <v>7</v>
      </c>
      <c r="J16" s="14">
        <f>Table22[[#This Row],[Vote]]/20</f>
        <v>0.35</v>
      </c>
      <c r="L16" t="s">
        <v>5</v>
      </c>
      <c r="M16" s="15">
        <f>COUNTIF(Table3[5. Is your access system hard to hack?], Table27[[#This Row],[Yes / No / I don''t know]])</f>
        <v>8</v>
      </c>
      <c r="N16" s="14">
        <f>Table27[[#This Row],[Vote]]/20</f>
        <v>0.4</v>
      </c>
    </row>
    <row r="17" spans="1:17" ht="15.75" thickBot="1" x14ac:dyDescent="0.3">
      <c r="A17" s="6">
        <v>11</v>
      </c>
      <c r="B17" s="4" t="s">
        <v>2</v>
      </c>
      <c r="C17" s="4" t="s">
        <v>3</v>
      </c>
      <c r="D17" s="4" t="s">
        <v>2</v>
      </c>
      <c r="E17" s="4" t="s">
        <v>2</v>
      </c>
      <c r="F17" s="7" t="s">
        <v>2</v>
      </c>
    </row>
    <row r="18" spans="1:17" ht="15.75" thickBot="1" x14ac:dyDescent="0.3">
      <c r="A18" s="6">
        <v>12</v>
      </c>
      <c r="B18" s="4" t="s">
        <v>4</v>
      </c>
      <c r="C18" s="4" t="s">
        <v>5</v>
      </c>
      <c r="D18" s="4" t="s">
        <v>5</v>
      </c>
      <c r="E18" s="4" t="s">
        <v>4</v>
      </c>
      <c r="F18" s="7" t="s">
        <v>6</v>
      </c>
      <c r="H18" s="20" t="s">
        <v>17</v>
      </c>
      <c r="I18" s="20"/>
      <c r="J18" s="20"/>
    </row>
    <row r="19" spans="1:17" ht="27" thickBot="1" x14ac:dyDescent="0.3">
      <c r="A19" s="6">
        <v>13</v>
      </c>
      <c r="B19" s="4" t="s">
        <v>2</v>
      </c>
      <c r="C19" s="4" t="s">
        <v>5</v>
      </c>
      <c r="D19" s="4" t="s">
        <v>4</v>
      </c>
      <c r="E19" s="4" t="s">
        <v>2</v>
      </c>
      <c r="F19" s="7" t="s">
        <v>2</v>
      </c>
      <c r="H19" s="5" t="s">
        <v>22</v>
      </c>
      <c r="I19" s="5" t="s">
        <v>14</v>
      </c>
      <c r="J19" s="5" t="s">
        <v>13</v>
      </c>
    </row>
    <row r="20" spans="1:17" ht="15.75" thickBot="1" x14ac:dyDescent="0.3">
      <c r="A20" s="6">
        <v>14</v>
      </c>
      <c r="B20" s="4" t="s">
        <v>4</v>
      </c>
      <c r="C20" s="4" t="s">
        <v>5</v>
      </c>
      <c r="D20" s="4" t="s">
        <v>5</v>
      </c>
      <c r="E20" s="4" t="s">
        <v>2</v>
      </c>
      <c r="F20" s="7" t="s">
        <v>2</v>
      </c>
      <c r="H20" t="s">
        <v>2</v>
      </c>
      <c r="I20">
        <f>COUNTIF(Table3[3. Have you ever been a victim of hacking or cyber-terrorism?], Table25[[#This Row],[Yes / No / I don''t know]])</f>
        <v>7</v>
      </c>
      <c r="J20" s="14">
        <f>Table25[[#This Row],[Vote]]/20</f>
        <v>0.35</v>
      </c>
    </row>
    <row r="21" spans="1:17" ht="15.75" thickBot="1" x14ac:dyDescent="0.3">
      <c r="A21" s="6">
        <v>15</v>
      </c>
      <c r="B21" s="4" t="s">
        <v>4</v>
      </c>
      <c r="C21" s="4" t="s">
        <v>5</v>
      </c>
      <c r="D21" s="4" t="s">
        <v>5</v>
      </c>
      <c r="E21" s="4" t="s">
        <v>4</v>
      </c>
      <c r="F21" s="7" t="s">
        <v>6</v>
      </c>
      <c r="H21" t="s">
        <v>4</v>
      </c>
      <c r="I21">
        <f>COUNTIF(Table3[3. Have you ever been a victim of hacking or cyber-terrorism?], Table25[[#This Row],[Yes / No / I don''t know]])</f>
        <v>7</v>
      </c>
      <c r="J21" s="14">
        <f>Table25[[#This Row],[Vote]]/20</f>
        <v>0.35</v>
      </c>
    </row>
    <row r="22" spans="1:17" ht="15.75" thickBot="1" x14ac:dyDescent="0.3">
      <c r="A22" s="6">
        <v>16</v>
      </c>
      <c r="B22" s="4" t="s">
        <v>2</v>
      </c>
      <c r="C22" s="4" t="s">
        <v>5</v>
      </c>
      <c r="D22" s="4" t="s">
        <v>5</v>
      </c>
      <c r="E22" s="4" t="s">
        <v>2</v>
      </c>
      <c r="F22" s="7" t="s">
        <v>2</v>
      </c>
      <c r="H22" t="s">
        <v>5</v>
      </c>
      <c r="I22" s="15">
        <f>COUNTIF(Table3[3. Have you ever been a victim of hacking or cyber-terrorism?], Table25[[#This Row],[Yes / No / I don''t know]])</f>
        <v>6</v>
      </c>
      <c r="J22" s="14">
        <f>Table25[[#This Row],[Vote]]/20</f>
        <v>0.3</v>
      </c>
    </row>
    <row r="23" spans="1:17" ht="15.75" thickBot="1" x14ac:dyDescent="0.3">
      <c r="A23" s="6">
        <v>17</v>
      </c>
      <c r="B23" s="4" t="s">
        <v>2</v>
      </c>
      <c r="C23" s="4" t="s">
        <v>3</v>
      </c>
      <c r="D23" s="4" t="s">
        <v>2</v>
      </c>
      <c r="E23" s="4" t="s">
        <v>2</v>
      </c>
      <c r="F23" s="7" t="s">
        <v>6</v>
      </c>
    </row>
    <row r="24" spans="1:17" ht="15.75" thickBot="1" x14ac:dyDescent="0.3">
      <c r="A24" s="6">
        <v>18</v>
      </c>
      <c r="B24" s="4" t="s">
        <v>2</v>
      </c>
      <c r="C24" s="4" t="s">
        <v>3</v>
      </c>
      <c r="D24" s="4" t="s">
        <v>2</v>
      </c>
      <c r="E24" s="4" t="s">
        <v>2</v>
      </c>
      <c r="F24" s="7" t="s">
        <v>2</v>
      </c>
    </row>
    <row r="25" spans="1:17" ht="15.75" thickBot="1" x14ac:dyDescent="0.3">
      <c r="A25" s="6">
        <v>19</v>
      </c>
      <c r="B25" s="4" t="s">
        <v>2</v>
      </c>
      <c r="C25" s="4" t="s">
        <v>3</v>
      </c>
      <c r="D25" s="4" t="s">
        <v>4</v>
      </c>
      <c r="E25" s="4" t="s">
        <v>2</v>
      </c>
      <c r="F25" s="7" t="s">
        <v>2</v>
      </c>
    </row>
    <row r="26" spans="1:17" x14ac:dyDescent="0.25">
      <c r="A26" s="11">
        <v>20</v>
      </c>
      <c r="B26" s="12" t="s">
        <v>2</v>
      </c>
      <c r="C26" s="12" t="s">
        <v>3</v>
      </c>
      <c r="D26" s="12" t="s">
        <v>4</v>
      </c>
      <c r="E26" s="12" t="s">
        <v>2</v>
      </c>
      <c r="F26" s="13" t="s">
        <v>2</v>
      </c>
    </row>
    <row r="30" spans="1:17" ht="21.75" thickBot="1" x14ac:dyDescent="0.4">
      <c r="A30" s="18" t="s">
        <v>26</v>
      </c>
      <c r="B30" s="18"/>
    </row>
    <row r="32" spans="1:17" ht="15" customHeight="1" x14ac:dyDescent="0.25">
      <c r="B32" s="17" t="s">
        <v>32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spans="2:17" ht="15" customHeight="1" x14ac:dyDescent="0.25">
      <c r="B33" s="17" t="s">
        <v>28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spans="2:17" ht="15" customHeight="1" x14ac:dyDescent="0.25">
      <c r="B34" s="17" t="s">
        <v>29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spans="2:17" ht="15" customHeight="1" x14ac:dyDescent="0.2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spans="2:17" x14ac:dyDescent="0.25">
      <c r="B36" t="s">
        <v>27</v>
      </c>
    </row>
    <row r="37" spans="2:17" x14ac:dyDescent="0.25">
      <c r="B37" t="s">
        <v>33</v>
      </c>
    </row>
  </sheetData>
  <mergeCells count="7">
    <mergeCell ref="L6:N6"/>
    <mergeCell ref="L12:N12"/>
    <mergeCell ref="A30:B30"/>
    <mergeCell ref="A3:B3"/>
    <mergeCell ref="H6:J6"/>
    <mergeCell ref="H12:J12"/>
    <mergeCell ref="H18:J18"/>
  </mergeCell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"/>
  <sheetViews>
    <sheetView workbookViewId="0">
      <selection activeCell="M27" sqref="M27"/>
    </sheetView>
  </sheetViews>
  <sheetFormatPr defaultRowHeight="15" x14ac:dyDescent="0.25"/>
  <sheetData>
    <row r="1" spans="2:13" x14ac:dyDescent="0.25">
      <c r="B1" s="21" t="s">
        <v>23</v>
      </c>
      <c r="C1" s="21"/>
      <c r="M1" s="16" t="s">
        <v>24</v>
      </c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"/>
  <sheetViews>
    <sheetView workbookViewId="0">
      <selection activeCell="L2" sqref="L2"/>
    </sheetView>
  </sheetViews>
  <sheetFormatPr defaultRowHeight="15" x14ac:dyDescent="0.25"/>
  <sheetData>
    <row r="2" spans="2:12" x14ac:dyDescent="0.25">
      <c r="B2" s="21" t="s">
        <v>23</v>
      </c>
      <c r="C2" s="21"/>
      <c r="L2" s="16" t="s">
        <v>24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"/>
  <sheetViews>
    <sheetView workbookViewId="0">
      <selection activeCell="M2" sqref="M2"/>
    </sheetView>
  </sheetViews>
  <sheetFormatPr defaultRowHeight="15" x14ac:dyDescent="0.25"/>
  <sheetData>
    <row r="2" spans="2:13" x14ac:dyDescent="0.25">
      <c r="B2" s="21" t="s">
        <v>23</v>
      </c>
      <c r="C2" s="21"/>
      <c r="M2" s="16" t="s">
        <v>24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"/>
  <sheetViews>
    <sheetView workbookViewId="0">
      <selection activeCell="M2" sqref="M2"/>
    </sheetView>
  </sheetViews>
  <sheetFormatPr defaultRowHeight="15" x14ac:dyDescent="0.25"/>
  <sheetData>
    <row r="2" spans="2:13" x14ac:dyDescent="0.25">
      <c r="B2" s="21" t="s">
        <v>23</v>
      </c>
      <c r="C2" s="21"/>
      <c r="M2" s="16" t="s">
        <v>24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"/>
  <sheetViews>
    <sheetView workbookViewId="0">
      <selection activeCell="K5" sqref="K5"/>
    </sheetView>
  </sheetViews>
  <sheetFormatPr defaultRowHeight="15" x14ac:dyDescent="0.25"/>
  <sheetData>
    <row r="2" spans="2:13" x14ac:dyDescent="0.25">
      <c r="B2" s="21" t="s">
        <v>23</v>
      </c>
      <c r="C2" s="21"/>
      <c r="M2" s="16" t="s">
        <v>25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24" sqref="N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Chart Question 1</vt:lpstr>
      <vt:lpstr>Chart Question 2</vt:lpstr>
      <vt:lpstr>Chart Question 3</vt:lpstr>
      <vt:lpstr>Chart Question 4</vt:lpstr>
      <vt:lpstr>Chart Question 5</vt:lpstr>
      <vt:lpstr>Questionnaire</vt:lpstr>
    </vt:vector>
  </TitlesOfParts>
  <Company>North-West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2017-05-14T10:04:05Z</dcterms:created>
  <dcterms:modified xsi:type="dcterms:W3CDTF">2017-05-15T11:46:49Z</dcterms:modified>
</cp:coreProperties>
</file>